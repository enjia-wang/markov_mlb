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jiawang/Documents/BETS/"/>
    </mc:Choice>
  </mc:AlternateContent>
  <xr:revisionPtr revIDLastSave="0" documentId="13_ncr:1_{A143E2B8-03FC-344E-AEF6-046DA6395E88}" xr6:coauthVersionLast="47" xr6:coauthVersionMax="47" xr10:uidLastSave="{00000000-0000-0000-0000-000000000000}"/>
  <bookViews>
    <workbookView xWindow="10900" yWindow="3940" windowWidth="28040" windowHeight="17180" xr2:uid="{34A046F6-F5EF-2447-9E8E-DBAA392EDFD4}"/>
  </bookViews>
  <sheets>
    <sheet name="mlb_bet_archive" sheetId="1" r:id="rId1"/>
    <sheet name="mlb_bet_archive_redo" sheetId="3" r:id="rId2"/>
    <sheet name="mlb_bet_archive_ol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" l="1"/>
  <c r="H38" i="1"/>
  <c r="H37" i="1"/>
  <c r="I37" i="1"/>
  <c r="H36" i="1"/>
  <c r="H32" i="1"/>
  <c r="H33" i="1"/>
  <c r="H34" i="1"/>
  <c r="H35" i="1"/>
  <c r="I32" i="1"/>
  <c r="I34" i="1"/>
  <c r="H24" i="1"/>
  <c r="H31" i="1"/>
  <c r="H23" i="1"/>
  <c r="I31" i="1"/>
  <c r="H30" i="1"/>
  <c r="I30" i="1"/>
  <c r="H29" i="1"/>
  <c r="I29" i="1"/>
  <c r="H22" i="1"/>
  <c r="H21" i="1"/>
  <c r="H27" i="1"/>
  <c r="H28" i="1"/>
  <c r="I27" i="1"/>
  <c r="H26" i="1"/>
  <c r="H25" i="1"/>
  <c r="H17" i="1"/>
  <c r="H20" i="1"/>
  <c r="H18" i="1"/>
  <c r="H19" i="1"/>
  <c r="I18" i="1"/>
  <c r="H16" i="1"/>
  <c r="H14" i="1"/>
  <c r="H15" i="1"/>
  <c r="H13" i="1"/>
  <c r="H12" i="1"/>
  <c r="I12" i="1"/>
  <c r="H11" i="1"/>
  <c r="I11" i="1"/>
  <c r="H9" i="1"/>
  <c r="H10" i="1"/>
  <c r="I10" i="1"/>
  <c r="H8" i="1"/>
  <c r="I6" i="3"/>
  <c r="I2" i="3"/>
  <c r="I5" i="3"/>
  <c r="I7" i="3"/>
  <c r="I3" i="3"/>
  <c r="I4" i="3"/>
  <c r="I2" i="1"/>
  <c r="H48" i="3"/>
  <c r="H20" i="3"/>
  <c r="H34" i="3"/>
  <c r="H50" i="3"/>
  <c r="H49" i="3"/>
  <c r="H4" i="3"/>
  <c r="H5" i="1"/>
  <c r="H4" i="1"/>
  <c r="H7" i="3"/>
  <c r="H11" i="3"/>
  <c r="H28" i="3"/>
  <c r="H25" i="3"/>
  <c r="H3" i="3"/>
  <c r="H47" i="3"/>
  <c r="H52" i="3"/>
  <c r="H53" i="3"/>
  <c r="H14" i="3"/>
  <c r="H33" i="3"/>
  <c r="H8" i="3"/>
  <c r="H15" i="3"/>
  <c r="H54" i="3"/>
  <c r="H6" i="3"/>
  <c r="H29" i="3"/>
  <c r="H21" i="3"/>
  <c r="H30" i="3"/>
  <c r="H9" i="3"/>
  <c r="H45" i="3"/>
  <c r="H22" i="3"/>
  <c r="H36" i="3"/>
  <c r="H41" i="3"/>
  <c r="H27" i="3"/>
  <c r="H37" i="3"/>
  <c r="H40" i="3"/>
  <c r="H16" i="3"/>
  <c r="H2" i="3"/>
  <c r="H17" i="3"/>
  <c r="H5" i="3"/>
  <c r="H43" i="3"/>
  <c r="H24" i="3"/>
  <c r="H46" i="3"/>
  <c r="H51" i="3"/>
  <c r="H26" i="3"/>
  <c r="H38" i="3"/>
  <c r="H19" i="3"/>
  <c r="H23" i="3"/>
  <c r="H35" i="3"/>
  <c r="H18" i="3"/>
  <c r="H13" i="3"/>
  <c r="H39" i="3"/>
  <c r="H31" i="3"/>
  <c r="H42" i="3"/>
  <c r="H44" i="3"/>
  <c r="H44" i="2"/>
  <c r="H9" i="2"/>
  <c r="H15" i="2"/>
  <c r="H35" i="2"/>
  <c r="I9" i="2"/>
  <c r="I15" i="2"/>
  <c r="I35" i="2"/>
  <c r="H32" i="3"/>
  <c r="H10" i="3"/>
  <c r="H12" i="3"/>
  <c r="H6" i="1"/>
  <c r="H3" i="1"/>
  <c r="H7" i="1"/>
  <c r="H39" i="2"/>
  <c r="H45" i="2"/>
  <c r="H43" i="2"/>
  <c r="H30" i="2"/>
  <c r="H38" i="2"/>
  <c r="H5" i="2"/>
  <c r="H41" i="2"/>
  <c r="H37" i="2"/>
  <c r="H36" i="2"/>
  <c r="H42" i="2"/>
  <c r="H33" i="2"/>
  <c r="H32" i="2"/>
  <c r="H31" i="2"/>
  <c r="H14" i="2"/>
  <c r="H29" i="2"/>
  <c r="H28" i="2"/>
  <c r="H27" i="2"/>
  <c r="H26" i="2"/>
  <c r="H40" i="2"/>
  <c r="H23" i="2"/>
  <c r="H25" i="2"/>
  <c r="H20" i="2"/>
  <c r="H17" i="2"/>
  <c r="H3" i="2"/>
  <c r="H21" i="2"/>
  <c r="H13" i="2"/>
  <c r="H12" i="2"/>
  <c r="H24" i="2"/>
  <c r="H4" i="2"/>
  <c r="I11" i="2"/>
  <c r="H11" i="2"/>
  <c r="I10" i="2"/>
  <c r="H10" i="2"/>
  <c r="I7" i="2"/>
  <c r="H7" i="2"/>
  <c r="H18" i="2"/>
  <c r="I8" i="2"/>
  <c r="H8" i="2"/>
  <c r="H22" i="2"/>
  <c r="H34" i="2"/>
  <c r="I6" i="2"/>
  <c r="H6" i="2"/>
  <c r="I46" i="2"/>
  <c r="H46" i="2"/>
  <c r="H19" i="2"/>
  <c r="H16" i="2"/>
  <c r="I2" i="2"/>
  <c r="H2" i="2"/>
  <c r="H2" i="1"/>
  <c r="I39" i="1" l="1"/>
  <c r="I38" i="1"/>
  <c r="I36" i="1"/>
  <c r="I35" i="1"/>
  <c r="I22" i="1"/>
  <c r="I33" i="1"/>
  <c r="I23" i="1"/>
  <c r="I24" i="1"/>
  <c r="I28" i="1"/>
  <c r="I26" i="1"/>
  <c r="I17" i="1"/>
  <c r="I21" i="1"/>
  <c r="I25" i="1"/>
  <c r="I20" i="1"/>
  <c r="I47" i="3"/>
  <c r="I33" i="3"/>
  <c r="I14" i="3"/>
  <c r="I15" i="3"/>
  <c r="I52" i="3"/>
  <c r="I36" i="3"/>
  <c r="I19" i="1"/>
  <c r="I15" i="1"/>
  <c r="I16" i="1"/>
  <c r="I14" i="1"/>
  <c r="I13" i="1"/>
  <c r="I9" i="1"/>
  <c r="I8" i="1"/>
  <c r="I6" i="1"/>
  <c r="I3" i="1"/>
  <c r="I7" i="1"/>
  <c r="I4" i="1"/>
  <c r="I5" i="1"/>
  <c r="I54" i="3"/>
  <c r="I41" i="3"/>
  <c r="I40" i="3"/>
  <c r="I27" i="3"/>
  <c r="I37" i="3"/>
  <c r="I16" i="3"/>
  <c r="I17" i="3"/>
  <c r="I43" i="3"/>
  <c r="I31" i="3"/>
  <c r="I32" i="3"/>
  <c r="I42" i="3"/>
  <c r="I44" i="3"/>
  <c r="I53" i="3"/>
  <c r="I25" i="3"/>
  <c r="I8" i="3"/>
  <c r="I48" i="3"/>
  <c r="I13" i="3"/>
  <c r="I29" i="3"/>
  <c r="I21" i="3"/>
  <c r="I22" i="3"/>
  <c r="I9" i="3"/>
  <c r="I38" i="3"/>
  <c r="I19" i="3"/>
  <c r="I23" i="3"/>
  <c r="I24" i="3"/>
  <c r="I46" i="3"/>
  <c r="I18" i="3"/>
  <c r="I51" i="3"/>
  <c r="I26" i="3"/>
  <c r="I35" i="3"/>
  <c r="I12" i="3"/>
  <c r="I39" i="3"/>
  <c r="I11" i="3"/>
  <c r="I28" i="3"/>
  <c r="I49" i="3"/>
  <c r="I50" i="3"/>
  <c r="I34" i="3"/>
  <c r="I20" i="3"/>
  <c r="I45" i="3"/>
  <c r="I30" i="3"/>
  <c r="I10" i="3"/>
  <c r="I18" i="2"/>
  <c r="I34" i="2"/>
  <c r="I19" i="2"/>
  <c r="I22" i="2"/>
  <c r="I44" i="2"/>
  <c r="I16" i="2"/>
  <c r="I41" i="2"/>
  <c r="I32" i="2"/>
  <c r="I14" i="2"/>
  <c r="I23" i="2"/>
  <c r="I25" i="2"/>
  <c r="I20" i="2"/>
  <c r="H47" i="2"/>
  <c r="I13" i="2"/>
  <c r="I29" i="2"/>
  <c r="I12" i="2"/>
  <c r="H55" i="3"/>
  <c r="I45" i="2"/>
  <c r="I33" i="2"/>
  <c r="I4" i="2"/>
  <c r="I37" i="2"/>
  <c r="I40" i="2"/>
  <c r="I28" i="2"/>
  <c r="I17" i="2"/>
  <c r="I3" i="2"/>
  <c r="I21" i="2"/>
  <c r="I24" i="2"/>
  <c r="I39" i="2"/>
  <c r="I43" i="2"/>
  <c r="I36" i="2"/>
  <c r="I31" i="2"/>
  <c r="I27" i="2"/>
  <c r="I30" i="2"/>
  <c r="I38" i="2"/>
  <c r="I5" i="2"/>
  <c r="I42" i="2"/>
  <c r="I26" i="2"/>
  <c r="H40" i="1"/>
  <c r="I55" i="3" l="1"/>
  <c r="I40" i="1"/>
  <c r="I47" i="2"/>
</calcChain>
</file>

<file path=xl/sharedStrings.xml><?xml version="1.0" encoding="utf-8"?>
<sst xmlns="http://schemas.openxmlformats.org/spreadsheetml/2006/main" count="438" uniqueCount="50">
  <si>
    <t>Date</t>
  </si>
  <si>
    <t>Away</t>
  </si>
  <si>
    <t>Home</t>
  </si>
  <si>
    <t>Bet</t>
  </si>
  <si>
    <t>Prob</t>
  </si>
  <si>
    <t>Result</t>
  </si>
  <si>
    <t>Line</t>
  </si>
  <si>
    <t>Earnings</t>
  </si>
  <si>
    <t>ATL</t>
  </si>
  <si>
    <t>CIN</t>
  </si>
  <si>
    <t>Over_8</t>
  </si>
  <si>
    <t>Home_Win</t>
  </si>
  <si>
    <t>MIL</t>
  </si>
  <si>
    <t>HOU</t>
  </si>
  <si>
    <t>Over_4</t>
  </si>
  <si>
    <t>SF</t>
  </si>
  <si>
    <t>COL</t>
  </si>
  <si>
    <t>Home_Lose</t>
  </si>
  <si>
    <t>NYY</t>
  </si>
  <si>
    <t>ATH</t>
  </si>
  <si>
    <t>AZ</t>
  </si>
  <si>
    <t>SEA</t>
  </si>
  <si>
    <t>BOS</t>
  </si>
  <si>
    <t>CLE</t>
  </si>
  <si>
    <t>PHI</t>
  </si>
  <si>
    <t>LAD</t>
  </si>
  <si>
    <t>SD</t>
  </si>
  <si>
    <t>WSH</t>
  </si>
  <si>
    <t>MIN</t>
  </si>
  <si>
    <t>PIT</t>
  </si>
  <si>
    <t>TEX</t>
  </si>
  <si>
    <t>STL</t>
  </si>
  <si>
    <t>CWS</t>
  </si>
  <si>
    <t>LAA</t>
  </si>
  <si>
    <t>DET</t>
  </si>
  <si>
    <t>Total</t>
  </si>
  <si>
    <t>CHC</t>
  </si>
  <si>
    <t>KC</t>
  </si>
  <si>
    <t>BAL</t>
  </si>
  <si>
    <t>TOR</t>
  </si>
  <si>
    <t>TB</t>
  </si>
  <si>
    <t>Earnings_Adjusted</t>
  </si>
  <si>
    <t>MIA</t>
  </si>
  <si>
    <t>NYM</t>
  </si>
  <si>
    <t>Over_4_Prob</t>
  </si>
  <si>
    <t>Home_Win_Prob</t>
  </si>
  <si>
    <t>Over_8_Prob</t>
  </si>
  <si>
    <t>RIFI_Prob</t>
  </si>
  <si>
    <t>Under_4</t>
  </si>
  <si>
    <t>RIFI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</si>
</sst>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NewRomanPSMT"/>
      <family val="2"/>
    </font>
    <font>
      <b/>
      <sz val="13"/>
      <color theme="3"/>
      <name val="TimesNewRomanPSMT"/>
      <family val="2"/>
    </font>
    <font>
      <b/>
      <sz val="11"/>
      <color theme="3"/>
      <name val="TimesNewRomanPSMT"/>
      <family val="2"/>
    </font>
    <font>
      <sz val="12"/>
      <color rgb="FF006100"/>
      <name val="TimesNewRomanPSMT"/>
      <family val="2"/>
    </font>
    <font>
      <sz val="12"/>
      <color rgb="FF9C0006"/>
      <name val="TimesNewRomanPSMT"/>
      <family val="2"/>
    </font>
    <font>
      <sz val="12"/>
      <color rgb="FF9C5700"/>
      <name val="TimesNewRomanPSMT"/>
      <family val="2"/>
    </font>
    <font>
      <sz val="12"/>
      <color rgb="FF3F3F76"/>
      <name val="TimesNewRomanPSMT"/>
      <family val="2"/>
    </font>
    <font>
      <b/>
      <sz val="12"/>
      <color rgb="FF3F3F3F"/>
      <name val="TimesNewRomanPSMT"/>
      <family val="2"/>
    </font>
    <font>
      <b/>
      <sz val="12"/>
      <color rgb="FFFA7D00"/>
      <name val="TimesNewRomanPSMT"/>
      <family val="2"/>
    </font>
    <font>
      <sz val="12"/>
      <color rgb="FFFA7D00"/>
      <name val="TimesNewRomanPSMT"/>
      <family val="2"/>
    </font>
    <font>
      <b/>
      <sz val="12"/>
      <color theme="0"/>
      <name val="TimesNewRomanPSMT"/>
      <family val="2"/>
    </font>
    <font>
      <sz val="12"/>
      <color rgb="FFFF0000"/>
      <name val="TimesNewRomanPSMT"/>
      <family val="2"/>
    </font>
    <font>
      <i/>
      <sz val="12"/>
      <color rgb="FF7F7F7F"/>
      <name val="TimesNewRomanPSMT"/>
      <family val="2"/>
    </font>
    <font>
      <b/>
      <sz val="12"/>
      <color theme="1"/>
      <name val="TimesNewRomanPSMT"/>
      <family val="2"/>
    </font>
    <font>
      <sz val="12"/>
      <color theme="0"/>
      <name val="TimesNewRomanPSM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19" formatCode="m/d/yy"/>
    </dxf>
    <dxf>
      <numFmt numFmtId="0" formatCode="General"/>
    </dxf>
    <dxf>
      <numFmt numFmtId="19" formatCode="m/d/yy"/>
    </dxf>
    <dxf>
      <numFmt numFmtId="19" formatCode="m/d/yy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B9C4DB-9DA3-3A46-BE8F-421DC7B5F41C}" name="Table1" displayName="Table1" ref="A1:I40" totalsRowCount="1">
  <autoFilter ref="A1:I39" xr:uid="{E3B9C4DB-9DA3-3A46-BE8F-421DC7B5F41C}"/>
  <sortState xmlns:xlrd2="http://schemas.microsoft.com/office/spreadsheetml/2017/richdata2" ref="A2:I31">
    <sortCondition ref="A1:A31"/>
  </sortState>
  <tableColumns count="9">
    <tableColumn id="1" xr3:uid="{9A3D60E9-AEC4-6849-902E-15F187BD973F}" name="Date" totalsRowLabel="Total" dataDxfId="6"/>
    <tableColumn id="2" xr3:uid="{2FB81BD4-1AF9-4044-9C29-F26E9582EB32}" name="Away"/>
    <tableColumn id="3" xr3:uid="{2F871F56-3096-3D45-BE31-6ED6A3F10ABF}" name="Home"/>
    <tableColumn id="4" xr3:uid="{661B1C20-C19B-8440-A882-D513AD0A76A2}" name="Bet"/>
    <tableColumn id="5" xr3:uid="{ABDC8D73-87B2-C146-AE0B-CD580513E090}" name="Prob"/>
    <tableColumn id="6" xr3:uid="{D83944B5-6834-4848-B982-7610765AABF7}" name="Result"/>
    <tableColumn id="7" xr3:uid="{802FBCBB-9A37-E94C-96C5-BAFD7FAB4FD0}" name="Line"/>
    <tableColumn id="8" xr3:uid="{0B6E36ED-CD47-C84F-9D75-93DF889A8A6D}" name="Earnings" totalsRowFunction="sum">
      <calculatedColumnFormula>IF(F2=0,-1,G2-1)</calculatedColumnFormula>
    </tableColumn>
    <tableColumn id="10" xr3:uid="{F24BEF06-3C0E-2342-98BC-E7E6EB4E3080}" name="Earnings_Adjusted" totalsRowFunction="sum" dataDxfId="5">
      <calculatedColumnFormula>IF(G2&gt;1.5,H2,0)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4B26D5-715C-E749-B96A-06742F36DF65}" name="Table134" displayName="Table134" ref="A1:I55" totalsRowCount="1">
  <autoFilter ref="A1:I54" xr:uid="{E3B9C4DB-9DA3-3A46-BE8F-421DC7B5F41C}"/>
  <sortState xmlns:xlrd2="http://schemas.microsoft.com/office/spreadsheetml/2017/richdata2" ref="A2:I54">
    <sortCondition ref="G1:G54"/>
  </sortState>
  <tableColumns count="9">
    <tableColumn id="1" xr3:uid="{57D33A44-F0FC-5A44-B1EC-D7EC483FF4D4}" name="Date" totalsRowLabel="Total" dataDxfId="4"/>
    <tableColumn id="3" xr3:uid="{611054ED-73D0-1D40-B4D1-CC3C3C1C6E5F}" name="Away" dataDxfId="3"/>
    <tableColumn id="2" xr3:uid="{B191E143-1814-AD43-B117-1937823ADF0D}" name="Home"/>
    <tableColumn id="4" xr3:uid="{19D88896-A803-2846-BF6A-ED0076EA769E}" name="Bet"/>
    <tableColumn id="5" xr3:uid="{155CCBF4-ED8C-FA4E-9832-CE30F9CB147C}" name="Prob"/>
    <tableColumn id="6" xr3:uid="{A1A1BE3B-0C69-0C47-AE85-D7D8B9FA225C}" name="Result"/>
    <tableColumn id="7" xr3:uid="{EC9CCC17-BD53-CD4D-816C-A6AC27F1D012}" name="Line"/>
    <tableColumn id="8" xr3:uid="{00D48331-D348-0B4E-8140-65B4370A6FFC}" name="Earnings" totalsRowFunction="sum">
      <calculatedColumnFormula>IF(F2=0,-1,G2-1)</calculatedColumnFormula>
    </tableColumn>
    <tableColumn id="10" xr3:uid="{8BE04B88-3395-B74A-99C7-E8DB8358CD6D}" name="Earnings_Adjusted" totalsRowFunction="sum" dataDxfId="2">
      <calculatedColumnFormula>IF(G2&gt;1.5,H2,0)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477D87-BDA1-9E4D-81F5-8CEA1BB36B56}" name="Table13" displayName="Table13" ref="A1:I47" totalsRowCount="1">
  <autoFilter ref="A1:I46" xr:uid="{E3B9C4DB-9DA3-3A46-BE8F-421DC7B5F41C}"/>
  <sortState xmlns:xlrd2="http://schemas.microsoft.com/office/spreadsheetml/2017/richdata2" ref="A2:I46">
    <sortCondition ref="G1:G46"/>
  </sortState>
  <tableColumns count="9">
    <tableColumn id="1" xr3:uid="{FDE75F1B-3819-BC42-A3D8-19AA9008D0ED}" name="Date" totalsRowLabel="Total" dataDxfId="1"/>
    <tableColumn id="2" xr3:uid="{11926590-67E0-C24A-9D4E-33A2F17B5854}" name="Away"/>
    <tableColumn id="3" xr3:uid="{5DA66287-D8C0-4349-B167-5D13DA37FA1E}" name="Home"/>
    <tableColumn id="4" xr3:uid="{862BBCA2-DB0C-5942-8E4C-8EAE369D8864}" name="Bet"/>
    <tableColumn id="5" xr3:uid="{46BC52DC-43B6-3143-90CE-46A8FF877769}" name="Prob"/>
    <tableColumn id="6" xr3:uid="{92B2907B-FF45-374B-9038-A428172C4EFF}" name="Result"/>
    <tableColumn id="7" xr3:uid="{309445B3-9AEB-A145-83AC-E9D47D90A098}" name="Line"/>
    <tableColumn id="8" xr3:uid="{592E1EFE-8433-754F-A36F-84F6E6A6D641}" name="Earnings" totalsRowFunction="sum">
      <calculatedColumnFormula>IF(F2=0,-1,G2-1)</calculatedColumnFormula>
    </tableColumn>
    <tableColumn id="10" xr3:uid="{A1BC2368-DB3C-044D-A324-926B19DA95D9}" name="Earnings_Adjusted" totalsRowFunction="sum" dataDxfId="0">
      <calculatedColumnFormula>IF(G2&gt;1.59,H2,0)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8217-0CD9-B844-8E39-C736F928A342}">
  <dimension ref="A1:I40"/>
  <sheetViews>
    <sheetView tabSelected="1" topLeftCell="A13" workbookViewId="0">
      <selection activeCell="F39" sqref="F39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41</v>
      </c>
    </row>
    <row r="2" spans="1:9">
      <c r="A2" s="1">
        <v>46175</v>
      </c>
      <c r="B2" t="s">
        <v>23</v>
      </c>
      <c r="C2" t="s">
        <v>18</v>
      </c>
      <c r="D2" t="s">
        <v>11</v>
      </c>
      <c r="E2">
        <v>0.66</v>
      </c>
      <c r="F2">
        <v>0</v>
      </c>
      <c r="G2">
        <v>1.44</v>
      </c>
      <c r="H2">
        <f t="shared" ref="H2:H31" si="0">IF(F2=0,-1,G2-1)</f>
        <v>-1</v>
      </c>
      <c r="I2">
        <f t="shared" ref="I2:I31" si="1">IF(G2&gt;1.5,H2,0)</f>
        <v>0</v>
      </c>
    </row>
    <row r="3" spans="1:9">
      <c r="A3" s="1">
        <v>46175</v>
      </c>
      <c r="B3" t="s">
        <v>19</v>
      </c>
      <c r="C3" t="s">
        <v>36</v>
      </c>
      <c r="D3" t="s">
        <v>14</v>
      </c>
      <c r="E3">
        <v>0.66</v>
      </c>
      <c r="F3">
        <v>0</v>
      </c>
      <c r="G3">
        <v>2.08</v>
      </c>
      <c r="H3">
        <f t="shared" si="0"/>
        <v>-1</v>
      </c>
      <c r="I3">
        <f t="shared" si="1"/>
        <v>-1</v>
      </c>
    </row>
    <row r="4" spans="1:9">
      <c r="A4" s="3">
        <v>46175</v>
      </c>
      <c r="B4" s="2" t="s">
        <v>16</v>
      </c>
      <c r="C4" s="2" t="s">
        <v>33</v>
      </c>
      <c r="D4" s="2" t="s">
        <v>11</v>
      </c>
      <c r="E4" s="2">
        <v>0.64</v>
      </c>
      <c r="F4" s="2">
        <v>0</v>
      </c>
      <c r="G4" s="2">
        <v>1.62</v>
      </c>
      <c r="H4" s="2">
        <f t="shared" si="0"/>
        <v>-1</v>
      </c>
      <c r="I4">
        <f t="shared" si="1"/>
        <v>-1</v>
      </c>
    </row>
    <row r="5" spans="1:9">
      <c r="A5" s="1">
        <v>46175</v>
      </c>
      <c r="B5" t="s">
        <v>25</v>
      </c>
      <c r="C5" t="s">
        <v>20</v>
      </c>
      <c r="D5" t="s">
        <v>11</v>
      </c>
      <c r="E5">
        <v>0.6</v>
      </c>
      <c r="F5">
        <v>0</v>
      </c>
      <c r="G5">
        <v>1.97</v>
      </c>
      <c r="H5">
        <f t="shared" si="0"/>
        <v>-1</v>
      </c>
      <c r="I5">
        <f t="shared" si="1"/>
        <v>-1</v>
      </c>
    </row>
    <row r="6" spans="1:9" s="2" customFormat="1">
      <c r="A6" s="1">
        <v>46175</v>
      </c>
      <c r="B6" t="s">
        <v>19</v>
      </c>
      <c r="C6" t="s">
        <v>36</v>
      </c>
      <c r="D6" t="s">
        <v>17</v>
      </c>
      <c r="E6">
        <v>0.37</v>
      </c>
      <c r="F6">
        <v>1</v>
      </c>
      <c r="G6">
        <v>2.04</v>
      </c>
      <c r="H6">
        <f t="shared" si="0"/>
        <v>1.04</v>
      </c>
      <c r="I6">
        <f t="shared" si="1"/>
        <v>1.04</v>
      </c>
    </row>
    <row r="7" spans="1:9">
      <c r="A7" s="1">
        <v>46175</v>
      </c>
      <c r="B7" t="s">
        <v>29</v>
      </c>
      <c r="C7" t="s">
        <v>13</v>
      </c>
      <c r="D7" t="s">
        <v>10</v>
      </c>
      <c r="E7">
        <v>0.62</v>
      </c>
      <c r="F7">
        <v>1</v>
      </c>
      <c r="G7">
        <v>1.73</v>
      </c>
      <c r="H7">
        <f t="shared" si="0"/>
        <v>0.73</v>
      </c>
      <c r="I7">
        <f t="shared" si="1"/>
        <v>0.73</v>
      </c>
    </row>
    <row r="8" spans="1:9">
      <c r="A8" s="1">
        <v>46176</v>
      </c>
      <c r="B8" t="s">
        <v>32</v>
      </c>
      <c r="C8" t="s">
        <v>28</v>
      </c>
      <c r="D8" t="s">
        <v>11</v>
      </c>
      <c r="E8">
        <v>0.63</v>
      </c>
      <c r="F8">
        <v>0</v>
      </c>
      <c r="G8">
        <v>1.65</v>
      </c>
      <c r="H8">
        <f t="shared" si="0"/>
        <v>-1</v>
      </c>
      <c r="I8">
        <f t="shared" si="1"/>
        <v>-1</v>
      </c>
    </row>
    <row r="9" spans="1:9">
      <c r="A9" s="1">
        <v>46176</v>
      </c>
      <c r="B9" t="s">
        <v>29</v>
      </c>
      <c r="C9" t="s">
        <v>13</v>
      </c>
      <c r="D9" t="s">
        <v>17</v>
      </c>
      <c r="E9">
        <v>0.28999999999999998</v>
      </c>
      <c r="F9">
        <v>0</v>
      </c>
      <c r="G9">
        <v>1.67</v>
      </c>
      <c r="H9">
        <f t="shared" si="0"/>
        <v>-1</v>
      </c>
      <c r="I9">
        <f t="shared" si="1"/>
        <v>-1</v>
      </c>
    </row>
    <row r="10" spans="1:9">
      <c r="A10" s="1">
        <v>46176</v>
      </c>
      <c r="B10" t="s">
        <v>26</v>
      </c>
      <c r="C10" t="s">
        <v>24</v>
      </c>
      <c r="D10" t="s">
        <v>11</v>
      </c>
      <c r="E10">
        <v>0.72</v>
      </c>
      <c r="F10">
        <v>1</v>
      </c>
      <c r="G10">
        <v>1.44</v>
      </c>
      <c r="H10">
        <f t="shared" si="0"/>
        <v>0.43999999999999995</v>
      </c>
      <c r="I10">
        <f t="shared" si="1"/>
        <v>0</v>
      </c>
    </row>
    <row r="11" spans="1:9">
      <c r="A11" s="1">
        <v>46176</v>
      </c>
      <c r="B11" t="s">
        <v>15</v>
      </c>
      <c r="C11" t="s">
        <v>12</v>
      </c>
      <c r="D11" t="s">
        <v>17</v>
      </c>
      <c r="E11">
        <v>0.36</v>
      </c>
      <c r="F11">
        <v>1</v>
      </c>
      <c r="G11">
        <v>2.23</v>
      </c>
      <c r="H11">
        <f t="shared" si="0"/>
        <v>1.23</v>
      </c>
      <c r="I11">
        <f t="shared" si="1"/>
        <v>1.23</v>
      </c>
    </row>
    <row r="12" spans="1:9">
      <c r="A12" s="1">
        <v>46176</v>
      </c>
      <c r="B12" t="s">
        <v>25</v>
      </c>
      <c r="C12" t="s">
        <v>20</v>
      </c>
      <c r="D12" t="s">
        <v>17</v>
      </c>
      <c r="E12">
        <v>0.34</v>
      </c>
      <c r="F12">
        <v>1</v>
      </c>
      <c r="G12">
        <v>1.49</v>
      </c>
      <c r="H12">
        <f t="shared" si="0"/>
        <v>0.49</v>
      </c>
      <c r="I12">
        <f t="shared" si="1"/>
        <v>0</v>
      </c>
    </row>
    <row r="13" spans="1:9">
      <c r="A13" s="1">
        <v>46177</v>
      </c>
      <c r="B13" t="s">
        <v>15</v>
      </c>
      <c r="C13" t="s">
        <v>12</v>
      </c>
      <c r="D13" t="s">
        <v>11</v>
      </c>
      <c r="E13">
        <v>0.57999999999999996</v>
      </c>
      <c r="F13">
        <v>0</v>
      </c>
      <c r="G13">
        <v>1.6</v>
      </c>
      <c r="H13">
        <f t="shared" si="0"/>
        <v>-1</v>
      </c>
      <c r="I13">
        <f t="shared" si="1"/>
        <v>-1</v>
      </c>
    </row>
    <row r="14" spans="1:9">
      <c r="A14" s="1">
        <v>46177</v>
      </c>
      <c r="B14" t="s">
        <v>26</v>
      </c>
      <c r="C14" t="s">
        <v>24</v>
      </c>
      <c r="D14" t="s">
        <v>10</v>
      </c>
      <c r="E14">
        <v>0.6</v>
      </c>
      <c r="F14">
        <v>1</v>
      </c>
      <c r="G14">
        <v>1.92</v>
      </c>
      <c r="H14">
        <f t="shared" si="0"/>
        <v>0.91999999999999993</v>
      </c>
      <c r="I14">
        <f t="shared" si="1"/>
        <v>0.91999999999999993</v>
      </c>
    </row>
    <row r="15" spans="1:9">
      <c r="A15" s="1">
        <v>46177</v>
      </c>
      <c r="B15" t="s">
        <v>23</v>
      </c>
      <c r="C15" t="s">
        <v>18</v>
      </c>
      <c r="D15" t="s">
        <v>11</v>
      </c>
      <c r="E15">
        <v>0.62</v>
      </c>
      <c r="F15">
        <v>1</v>
      </c>
      <c r="G15">
        <v>1.59</v>
      </c>
      <c r="H15">
        <f t="shared" si="0"/>
        <v>0.59000000000000008</v>
      </c>
      <c r="I15">
        <f t="shared" si="1"/>
        <v>0.59000000000000008</v>
      </c>
    </row>
    <row r="16" spans="1:9">
      <c r="A16" s="1">
        <v>46177</v>
      </c>
      <c r="B16" t="s">
        <v>8</v>
      </c>
      <c r="C16" t="s">
        <v>39</v>
      </c>
      <c r="D16" t="s">
        <v>48</v>
      </c>
      <c r="E16">
        <v>0.36</v>
      </c>
      <c r="F16">
        <v>1</v>
      </c>
      <c r="G16">
        <v>1.67</v>
      </c>
      <c r="H16">
        <f t="shared" si="0"/>
        <v>0.66999999999999993</v>
      </c>
      <c r="I16">
        <f t="shared" si="1"/>
        <v>0.66999999999999993</v>
      </c>
    </row>
    <row r="17" spans="1:9">
      <c r="A17" s="1">
        <v>46178</v>
      </c>
      <c r="B17" t="s">
        <v>33</v>
      </c>
      <c r="C17" t="s">
        <v>25</v>
      </c>
      <c r="D17" t="s">
        <v>10</v>
      </c>
      <c r="E17">
        <v>0.62</v>
      </c>
      <c r="F17">
        <v>0</v>
      </c>
      <c r="G17">
        <v>1.93</v>
      </c>
      <c r="H17">
        <f t="shared" si="0"/>
        <v>-1</v>
      </c>
      <c r="I17">
        <f t="shared" si="1"/>
        <v>-1</v>
      </c>
    </row>
    <row r="18" spans="1:9">
      <c r="A18" s="1">
        <v>46178</v>
      </c>
      <c r="B18" t="s">
        <v>15</v>
      </c>
      <c r="C18" t="s">
        <v>36</v>
      </c>
      <c r="D18" t="s">
        <v>10</v>
      </c>
      <c r="E18">
        <v>0.6</v>
      </c>
      <c r="F18">
        <v>1</v>
      </c>
      <c r="G18">
        <v>1.42</v>
      </c>
      <c r="H18">
        <f t="shared" si="0"/>
        <v>0.41999999999999993</v>
      </c>
      <c r="I18">
        <f t="shared" si="1"/>
        <v>0</v>
      </c>
    </row>
    <row r="19" spans="1:9">
      <c r="A19" s="1">
        <v>46178</v>
      </c>
      <c r="B19" t="s">
        <v>32</v>
      </c>
      <c r="C19" t="s">
        <v>24</v>
      </c>
      <c r="D19" t="s">
        <v>11</v>
      </c>
      <c r="E19">
        <v>0.69</v>
      </c>
      <c r="F19">
        <v>1</v>
      </c>
      <c r="G19">
        <v>1.53</v>
      </c>
      <c r="H19">
        <f t="shared" si="0"/>
        <v>0.53</v>
      </c>
      <c r="I19">
        <f t="shared" si="1"/>
        <v>0.53</v>
      </c>
    </row>
    <row r="20" spans="1:9">
      <c r="A20" s="1">
        <v>46178</v>
      </c>
      <c r="B20" t="s">
        <v>12</v>
      </c>
      <c r="C20" t="s">
        <v>16</v>
      </c>
      <c r="D20" t="s">
        <v>17</v>
      </c>
      <c r="E20">
        <v>0.35</v>
      </c>
      <c r="F20">
        <v>1</v>
      </c>
      <c r="G20">
        <v>1.64</v>
      </c>
      <c r="H20">
        <f t="shared" si="0"/>
        <v>0.6399999999999999</v>
      </c>
      <c r="I20">
        <f t="shared" si="1"/>
        <v>0.6399999999999999</v>
      </c>
    </row>
    <row r="21" spans="1:9">
      <c r="A21" s="1">
        <v>46179</v>
      </c>
      <c r="B21" t="s">
        <v>27</v>
      </c>
      <c r="C21" t="s">
        <v>20</v>
      </c>
      <c r="D21" t="s">
        <v>11</v>
      </c>
      <c r="E21">
        <v>0.59</v>
      </c>
      <c r="F21">
        <v>0</v>
      </c>
      <c r="G21">
        <v>1.64</v>
      </c>
      <c r="H21">
        <f t="shared" si="0"/>
        <v>-1</v>
      </c>
      <c r="I21">
        <f t="shared" si="1"/>
        <v>-1</v>
      </c>
    </row>
    <row r="22" spans="1:9">
      <c r="A22" s="1">
        <v>46179</v>
      </c>
      <c r="B22" t="s">
        <v>29</v>
      </c>
      <c r="C22" t="s">
        <v>8</v>
      </c>
      <c r="D22" t="s">
        <v>48</v>
      </c>
      <c r="E22">
        <v>0.36</v>
      </c>
      <c r="F22">
        <v>0</v>
      </c>
      <c r="G22">
        <v>1.7</v>
      </c>
      <c r="H22">
        <f t="shared" si="0"/>
        <v>-1</v>
      </c>
      <c r="I22">
        <f t="shared" si="1"/>
        <v>-1</v>
      </c>
    </row>
    <row r="23" spans="1:9">
      <c r="A23" s="1">
        <v>46179</v>
      </c>
      <c r="B23" t="s">
        <v>26</v>
      </c>
      <c r="C23" t="s">
        <v>43</v>
      </c>
      <c r="D23" t="s">
        <v>17</v>
      </c>
      <c r="E23">
        <v>0.37</v>
      </c>
      <c r="F23">
        <v>0</v>
      </c>
      <c r="G23">
        <v>1.77</v>
      </c>
      <c r="H23">
        <f t="shared" si="0"/>
        <v>-1</v>
      </c>
      <c r="I23">
        <f t="shared" si="1"/>
        <v>-1</v>
      </c>
    </row>
    <row r="24" spans="1:9">
      <c r="A24" s="1">
        <v>46179</v>
      </c>
      <c r="B24" t="s">
        <v>26</v>
      </c>
      <c r="C24" t="s">
        <v>43</v>
      </c>
      <c r="D24" t="s">
        <v>10</v>
      </c>
      <c r="E24">
        <v>0.65</v>
      </c>
      <c r="F24">
        <v>0</v>
      </c>
      <c r="G24">
        <v>1.95</v>
      </c>
      <c r="H24">
        <f t="shared" si="0"/>
        <v>-1</v>
      </c>
      <c r="I24">
        <f t="shared" si="1"/>
        <v>-1</v>
      </c>
    </row>
    <row r="25" spans="1:9">
      <c r="A25" s="1">
        <v>46179</v>
      </c>
      <c r="B25" t="s">
        <v>9</v>
      </c>
      <c r="C25" t="s">
        <v>31</v>
      </c>
      <c r="D25" t="s">
        <v>11</v>
      </c>
      <c r="E25">
        <v>0.59</v>
      </c>
      <c r="F25">
        <v>1</v>
      </c>
      <c r="G25">
        <v>1.77</v>
      </c>
      <c r="H25">
        <f t="shared" si="0"/>
        <v>0.77</v>
      </c>
      <c r="I25">
        <f t="shared" si="1"/>
        <v>0.77</v>
      </c>
    </row>
    <row r="26" spans="1:9">
      <c r="A26" s="1">
        <v>46179</v>
      </c>
      <c r="B26" t="s">
        <v>15</v>
      </c>
      <c r="C26" t="s">
        <v>36</v>
      </c>
      <c r="D26" t="s">
        <v>11</v>
      </c>
      <c r="E26">
        <v>0.57999999999999996</v>
      </c>
      <c r="F26">
        <v>1</v>
      </c>
      <c r="G26">
        <v>1.64</v>
      </c>
      <c r="H26">
        <f t="shared" si="0"/>
        <v>0.6399999999999999</v>
      </c>
      <c r="I26">
        <f t="shared" si="1"/>
        <v>0.6399999999999999</v>
      </c>
    </row>
    <row r="27" spans="1:9">
      <c r="A27" s="1">
        <v>46179</v>
      </c>
      <c r="B27" t="s">
        <v>19</v>
      </c>
      <c r="C27" t="s">
        <v>13</v>
      </c>
      <c r="D27" t="s">
        <v>14</v>
      </c>
      <c r="E27">
        <v>0.63</v>
      </c>
      <c r="F27">
        <v>1</v>
      </c>
      <c r="G27">
        <v>1.62</v>
      </c>
      <c r="H27">
        <f t="shared" si="0"/>
        <v>0.62000000000000011</v>
      </c>
      <c r="I27">
        <f t="shared" si="1"/>
        <v>0.62000000000000011</v>
      </c>
    </row>
    <row r="28" spans="1:9">
      <c r="A28" s="1">
        <v>46179</v>
      </c>
      <c r="B28" t="s">
        <v>19</v>
      </c>
      <c r="C28" t="s">
        <v>13</v>
      </c>
      <c r="D28" t="s">
        <v>49</v>
      </c>
      <c r="E28">
        <v>0.6</v>
      </c>
      <c r="F28">
        <v>1</v>
      </c>
      <c r="G28">
        <v>1.73</v>
      </c>
      <c r="H28">
        <f t="shared" si="0"/>
        <v>0.73</v>
      </c>
      <c r="I28">
        <f t="shared" si="1"/>
        <v>0.73</v>
      </c>
    </row>
    <row r="29" spans="1:9">
      <c r="A29" s="1">
        <v>46179</v>
      </c>
      <c r="B29" t="s">
        <v>40</v>
      </c>
      <c r="C29" t="s">
        <v>42</v>
      </c>
      <c r="D29" t="s">
        <v>48</v>
      </c>
      <c r="E29">
        <v>0.36</v>
      </c>
      <c r="F29">
        <v>1</v>
      </c>
      <c r="G29">
        <v>1.7</v>
      </c>
      <c r="H29">
        <f t="shared" si="0"/>
        <v>0.7</v>
      </c>
      <c r="I29">
        <f t="shared" si="1"/>
        <v>0.7</v>
      </c>
    </row>
    <row r="30" spans="1:9">
      <c r="A30" s="1">
        <v>46179</v>
      </c>
      <c r="B30" t="s">
        <v>12</v>
      </c>
      <c r="C30" t="s">
        <v>16</v>
      </c>
      <c r="D30" t="s">
        <v>17</v>
      </c>
      <c r="E30">
        <v>0.25</v>
      </c>
      <c r="F30">
        <v>1</v>
      </c>
      <c r="G30">
        <v>1.34</v>
      </c>
      <c r="H30">
        <f t="shared" si="0"/>
        <v>0.34000000000000008</v>
      </c>
      <c r="I30">
        <f t="shared" si="1"/>
        <v>0</v>
      </c>
    </row>
    <row r="31" spans="1:9">
      <c r="A31" s="1">
        <v>46179</v>
      </c>
      <c r="B31" t="s">
        <v>33</v>
      </c>
      <c r="C31" t="s">
        <v>25</v>
      </c>
      <c r="D31" t="s">
        <v>11</v>
      </c>
      <c r="E31">
        <v>0.77</v>
      </c>
      <c r="F31">
        <v>1</v>
      </c>
      <c r="G31">
        <v>1.28</v>
      </c>
      <c r="H31">
        <f t="shared" si="0"/>
        <v>0.28000000000000003</v>
      </c>
      <c r="I31">
        <f t="shared" si="1"/>
        <v>0</v>
      </c>
    </row>
    <row r="32" spans="1:9">
      <c r="A32" s="1">
        <v>46180</v>
      </c>
      <c r="B32" t="s">
        <v>32</v>
      </c>
      <c r="C32" t="s">
        <v>24</v>
      </c>
      <c r="D32" t="s">
        <v>11</v>
      </c>
      <c r="E32">
        <v>0.72</v>
      </c>
      <c r="F32">
        <v>1</v>
      </c>
      <c r="G32">
        <v>1.56</v>
      </c>
      <c r="H32">
        <f t="shared" ref="H32:H35" si="2">IF(F32=0,-1,G32-1)</f>
        <v>0.56000000000000005</v>
      </c>
      <c r="I32">
        <f t="shared" ref="I32:I35" si="3">IF(G32&gt;1.5,H32,0)</f>
        <v>0.56000000000000005</v>
      </c>
    </row>
    <row r="33" spans="1:9">
      <c r="A33" s="1">
        <v>46180</v>
      </c>
      <c r="B33" t="s">
        <v>40</v>
      </c>
      <c r="C33" t="s">
        <v>42</v>
      </c>
      <c r="D33" t="s">
        <v>17</v>
      </c>
      <c r="E33">
        <v>0.34</v>
      </c>
      <c r="F33">
        <v>0</v>
      </c>
      <c r="G33">
        <v>1.88</v>
      </c>
      <c r="H33">
        <f t="shared" si="2"/>
        <v>-1</v>
      </c>
      <c r="I33">
        <f t="shared" si="3"/>
        <v>-1</v>
      </c>
    </row>
    <row r="34" spans="1:9">
      <c r="A34" s="1">
        <v>46180</v>
      </c>
      <c r="B34" t="s">
        <v>19</v>
      </c>
      <c r="C34" t="s">
        <v>13</v>
      </c>
      <c r="D34" t="s">
        <v>10</v>
      </c>
      <c r="E34">
        <v>0.64</v>
      </c>
      <c r="F34">
        <v>0</v>
      </c>
      <c r="G34">
        <v>1.7</v>
      </c>
      <c r="H34">
        <f t="shared" si="2"/>
        <v>-1</v>
      </c>
      <c r="I34">
        <f t="shared" si="3"/>
        <v>-1</v>
      </c>
    </row>
    <row r="35" spans="1:9">
      <c r="A35" s="1">
        <v>46180</v>
      </c>
      <c r="B35" t="s">
        <v>9</v>
      </c>
      <c r="C35" t="s">
        <v>31</v>
      </c>
      <c r="D35" t="s">
        <v>11</v>
      </c>
      <c r="E35">
        <v>0.59</v>
      </c>
      <c r="F35">
        <v>1</v>
      </c>
      <c r="G35">
        <v>1.7</v>
      </c>
      <c r="H35">
        <f t="shared" si="2"/>
        <v>0.7</v>
      </c>
      <c r="I35">
        <f t="shared" si="3"/>
        <v>0.7</v>
      </c>
    </row>
    <row r="36" spans="1:9">
      <c r="A36" s="1">
        <v>46180</v>
      </c>
      <c r="B36" t="s">
        <v>12</v>
      </c>
      <c r="C36" t="s">
        <v>16</v>
      </c>
      <c r="D36" t="s">
        <v>17</v>
      </c>
      <c r="E36">
        <v>0.35</v>
      </c>
      <c r="F36">
        <v>1</v>
      </c>
      <c r="G36">
        <v>1.53</v>
      </c>
      <c r="H36">
        <f>IF(F36=0,-1,G36-1)</f>
        <v>0.53</v>
      </c>
      <c r="I36">
        <f>IF(G36&gt;1.5,H36,0)</f>
        <v>0.53</v>
      </c>
    </row>
    <row r="37" spans="1:9">
      <c r="A37" s="1">
        <v>46180</v>
      </c>
      <c r="B37" t="s">
        <v>25</v>
      </c>
      <c r="C37" t="s">
        <v>33</v>
      </c>
      <c r="D37" t="s">
        <v>11</v>
      </c>
      <c r="E37">
        <v>0.66</v>
      </c>
      <c r="F37">
        <v>0</v>
      </c>
      <c r="G37">
        <v>1.46</v>
      </c>
      <c r="H37">
        <f>IF(F37=0,-1,G37-1)</f>
        <v>-1</v>
      </c>
      <c r="I37">
        <f>IF(G37&gt;1.5,H37,0)</f>
        <v>0</v>
      </c>
    </row>
    <row r="38" spans="1:9">
      <c r="A38" s="1">
        <v>46180</v>
      </c>
      <c r="B38" t="s">
        <v>43</v>
      </c>
      <c r="C38" t="s">
        <v>26</v>
      </c>
      <c r="D38" t="s">
        <v>11</v>
      </c>
      <c r="E38">
        <v>0.35</v>
      </c>
      <c r="F38">
        <v>1</v>
      </c>
      <c r="G38">
        <v>1.92</v>
      </c>
      <c r="H38">
        <f>IF(F38=0,-1,G38-1)</f>
        <v>0.91999999999999993</v>
      </c>
      <c r="I38">
        <f>IF(G38&gt;1.5,H38,0)</f>
        <v>0.91999999999999993</v>
      </c>
    </row>
    <row r="39" spans="1:9">
      <c r="A39" s="1">
        <v>46180</v>
      </c>
      <c r="B39" t="s">
        <v>15</v>
      </c>
      <c r="C39" t="s">
        <v>36</v>
      </c>
      <c r="D39" t="s">
        <v>14</v>
      </c>
      <c r="E39">
        <v>0.65</v>
      </c>
      <c r="G39">
        <v>2</v>
      </c>
      <c r="H39">
        <f>IF(F39=0,-1,G39-1)</f>
        <v>-1</v>
      </c>
      <c r="I39" s="4">
        <f>IF(G39&gt;1.5,H39,0)</f>
        <v>-1</v>
      </c>
    </row>
    <row r="40" spans="1:9">
      <c r="A40" t="s">
        <v>35</v>
      </c>
      <c r="H40">
        <f>SUBTOTAL(109,Table1[Earnings])</f>
        <v>-1.5100000000000005</v>
      </c>
      <c r="I40">
        <f>SUBTOTAL(109,Table1[Earnings_Adjusted])</f>
        <v>-1.48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3679-894E-DA4E-A69D-FCC94D1E7025}">
  <dimension ref="A1:I57"/>
  <sheetViews>
    <sheetView workbookViewId="0">
      <selection activeCell="K4" sqref="K4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41</v>
      </c>
    </row>
    <row r="2" spans="1:9">
      <c r="A2" s="1">
        <v>46169</v>
      </c>
      <c r="B2" t="s">
        <v>16</v>
      </c>
      <c r="C2" t="s">
        <v>25</v>
      </c>
      <c r="D2" t="s">
        <v>45</v>
      </c>
      <c r="E2">
        <v>0.84</v>
      </c>
      <c r="F2">
        <v>1</v>
      </c>
      <c r="G2">
        <v>1.23</v>
      </c>
      <c r="H2">
        <f t="shared" ref="H2:H33" si="0">IF(F2=0,-1,G2-1)</f>
        <v>0.22999999999999998</v>
      </c>
      <c r="I2">
        <f t="shared" ref="I2:I33" si="1">IF(G2&gt;1.5,H2,0)</f>
        <v>0</v>
      </c>
    </row>
    <row r="3" spans="1:9">
      <c r="A3" s="1">
        <v>46173</v>
      </c>
      <c r="B3" t="s">
        <v>24</v>
      </c>
      <c r="C3" t="s">
        <v>25</v>
      </c>
      <c r="D3" t="s">
        <v>45</v>
      </c>
      <c r="E3">
        <v>0.7</v>
      </c>
      <c r="F3">
        <v>1</v>
      </c>
      <c r="G3">
        <v>1.43</v>
      </c>
      <c r="H3">
        <f t="shared" si="0"/>
        <v>0.42999999999999994</v>
      </c>
      <c r="I3">
        <f t="shared" si="1"/>
        <v>0</v>
      </c>
    </row>
    <row r="4" spans="1:9">
      <c r="A4" s="1">
        <v>46175</v>
      </c>
      <c r="B4" t="s">
        <v>23</v>
      </c>
      <c r="C4" t="s">
        <v>18</v>
      </c>
      <c r="D4" t="s">
        <v>11</v>
      </c>
      <c r="E4">
        <v>0.66</v>
      </c>
      <c r="F4">
        <v>0</v>
      </c>
      <c r="G4">
        <v>1.44</v>
      </c>
      <c r="H4">
        <f t="shared" si="0"/>
        <v>-1</v>
      </c>
      <c r="I4">
        <f t="shared" si="1"/>
        <v>0</v>
      </c>
    </row>
    <row r="5" spans="1:9">
      <c r="A5" s="1">
        <v>46170</v>
      </c>
      <c r="B5" t="s">
        <v>8</v>
      </c>
      <c r="C5" t="s">
        <v>22</v>
      </c>
      <c r="D5" t="s">
        <v>44</v>
      </c>
      <c r="E5">
        <v>0.32</v>
      </c>
      <c r="F5">
        <v>1</v>
      </c>
      <c r="G5">
        <v>1.45</v>
      </c>
      <c r="H5">
        <f t="shared" si="0"/>
        <v>0.44999999999999996</v>
      </c>
      <c r="I5">
        <f t="shared" si="1"/>
        <v>0</v>
      </c>
    </row>
    <row r="6" spans="1:9">
      <c r="A6" s="1">
        <v>46168</v>
      </c>
      <c r="B6" t="s">
        <v>31</v>
      </c>
      <c r="C6" t="s">
        <v>12</v>
      </c>
      <c r="D6" t="s">
        <v>45</v>
      </c>
      <c r="E6">
        <v>0.57999999999999996</v>
      </c>
      <c r="F6">
        <v>1</v>
      </c>
      <c r="G6">
        <v>1.49</v>
      </c>
      <c r="H6">
        <f t="shared" si="0"/>
        <v>0.49</v>
      </c>
      <c r="I6">
        <f t="shared" si="1"/>
        <v>0</v>
      </c>
    </row>
    <row r="7" spans="1:9">
      <c r="A7" s="1">
        <v>46173</v>
      </c>
      <c r="B7" t="s">
        <v>33</v>
      </c>
      <c r="C7" t="s">
        <v>40</v>
      </c>
      <c r="D7" t="s">
        <v>45</v>
      </c>
      <c r="E7">
        <v>0.76</v>
      </c>
      <c r="F7">
        <v>1</v>
      </c>
      <c r="G7">
        <v>1.49</v>
      </c>
      <c r="H7">
        <f t="shared" si="0"/>
        <v>0.49</v>
      </c>
      <c r="I7">
        <f t="shared" si="1"/>
        <v>0</v>
      </c>
    </row>
    <row r="8" spans="1:9">
      <c r="A8" s="1">
        <v>46174</v>
      </c>
      <c r="B8" t="s">
        <v>16</v>
      </c>
      <c r="C8" t="s">
        <v>33</v>
      </c>
      <c r="D8" t="s">
        <v>45</v>
      </c>
      <c r="E8">
        <v>0.67</v>
      </c>
      <c r="F8">
        <v>0</v>
      </c>
      <c r="G8">
        <v>1.51</v>
      </c>
      <c r="H8">
        <f t="shared" si="0"/>
        <v>-1</v>
      </c>
      <c r="I8">
        <f t="shared" si="1"/>
        <v>-1</v>
      </c>
    </row>
    <row r="9" spans="1:9">
      <c r="A9" s="1">
        <v>46168</v>
      </c>
      <c r="B9" t="s">
        <v>18</v>
      </c>
      <c r="C9" t="s">
        <v>37</v>
      </c>
      <c r="D9" t="s">
        <v>45</v>
      </c>
      <c r="E9">
        <v>0.24</v>
      </c>
      <c r="F9">
        <v>1</v>
      </c>
      <c r="G9">
        <v>1.51</v>
      </c>
      <c r="H9">
        <f t="shared" si="0"/>
        <v>0.51</v>
      </c>
      <c r="I9">
        <f t="shared" si="1"/>
        <v>0.51</v>
      </c>
    </row>
    <row r="10" spans="1:9">
      <c r="A10" s="3">
        <v>46172</v>
      </c>
      <c r="B10" s="2" t="s">
        <v>18</v>
      </c>
      <c r="C10" s="2" t="s">
        <v>19</v>
      </c>
      <c r="D10" s="2" t="s">
        <v>46</v>
      </c>
      <c r="E10" s="2">
        <v>0.65</v>
      </c>
      <c r="F10" s="2">
        <v>1</v>
      </c>
      <c r="G10" s="2">
        <v>1.56</v>
      </c>
      <c r="H10" s="2">
        <f t="shared" si="0"/>
        <v>0.56000000000000005</v>
      </c>
      <c r="I10">
        <f t="shared" si="1"/>
        <v>0.56000000000000005</v>
      </c>
    </row>
    <row r="11" spans="1:9">
      <c r="A11" s="1">
        <v>46173</v>
      </c>
      <c r="B11" t="s">
        <v>28</v>
      </c>
      <c r="C11" t="s">
        <v>29</v>
      </c>
      <c r="D11" t="s">
        <v>47</v>
      </c>
      <c r="E11">
        <v>0.4</v>
      </c>
      <c r="F11">
        <v>1</v>
      </c>
      <c r="G11">
        <v>1.57</v>
      </c>
      <c r="H11">
        <f t="shared" si="0"/>
        <v>0.57000000000000006</v>
      </c>
      <c r="I11">
        <f t="shared" si="1"/>
        <v>0.57000000000000006</v>
      </c>
    </row>
    <row r="12" spans="1:9" s="2" customFormat="1">
      <c r="A12" s="1">
        <v>46172</v>
      </c>
      <c r="B12" t="s">
        <v>8</v>
      </c>
      <c r="C12" t="s">
        <v>9</v>
      </c>
      <c r="D12" t="s">
        <v>46</v>
      </c>
      <c r="E12">
        <v>0.65</v>
      </c>
      <c r="F12">
        <v>0</v>
      </c>
      <c r="G12">
        <v>1.59</v>
      </c>
      <c r="H12">
        <f t="shared" si="0"/>
        <v>-1</v>
      </c>
      <c r="I12">
        <f t="shared" si="1"/>
        <v>-1</v>
      </c>
    </row>
    <row r="13" spans="1:9">
      <c r="A13" s="1">
        <v>46172</v>
      </c>
      <c r="B13" t="s">
        <v>33</v>
      </c>
      <c r="C13" t="s">
        <v>40</v>
      </c>
      <c r="D13" t="s">
        <v>45</v>
      </c>
      <c r="E13">
        <v>0.7</v>
      </c>
      <c r="F13">
        <v>0</v>
      </c>
      <c r="G13">
        <v>1.59</v>
      </c>
      <c r="H13">
        <f t="shared" si="0"/>
        <v>-1</v>
      </c>
      <c r="I13">
        <f t="shared" si="1"/>
        <v>-1</v>
      </c>
    </row>
    <row r="14" spans="1:9">
      <c r="A14" s="1">
        <v>46174</v>
      </c>
      <c r="B14" t="s">
        <v>34</v>
      </c>
      <c r="C14" t="s">
        <v>40</v>
      </c>
      <c r="D14" t="s">
        <v>45</v>
      </c>
      <c r="E14">
        <v>0.67</v>
      </c>
      <c r="F14">
        <v>0</v>
      </c>
      <c r="G14">
        <v>1.59</v>
      </c>
      <c r="H14">
        <f t="shared" si="0"/>
        <v>-1</v>
      </c>
      <c r="I14">
        <f t="shared" si="1"/>
        <v>-1</v>
      </c>
    </row>
    <row r="15" spans="1:9">
      <c r="A15" s="3">
        <v>46174</v>
      </c>
      <c r="B15" s="2" t="s">
        <v>25</v>
      </c>
      <c r="C15" s="2" t="s">
        <v>20</v>
      </c>
      <c r="D15" s="2" t="s">
        <v>45</v>
      </c>
      <c r="E15" s="2">
        <v>0.37</v>
      </c>
      <c r="F15" s="2">
        <v>0</v>
      </c>
      <c r="G15" s="2">
        <v>1.59</v>
      </c>
      <c r="H15" s="2">
        <f t="shared" si="0"/>
        <v>-1</v>
      </c>
      <c r="I15">
        <f t="shared" si="1"/>
        <v>-1</v>
      </c>
    </row>
    <row r="16" spans="1:9">
      <c r="A16" s="1">
        <v>46169</v>
      </c>
      <c r="B16" t="s">
        <v>31</v>
      </c>
      <c r="C16" t="s">
        <v>12</v>
      </c>
      <c r="D16" t="s">
        <v>45</v>
      </c>
      <c r="E16">
        <v>0.6</v>
      </c>
      <c r="F16">
        <v>1</v>
      </c>
      <c r="G16">
        <v>1.59</v>
      </c>
      <c r="H16">
        <f t="shared" si="0"/>
        <v>0.59000000000000008</v>
      </c>
      <c r="I16">
        <f t="shared" si="1"/>
        <v>0.59000000000000008</v>
      </c>
    </row>
    <row r="17" spans="1:9">
      <c r="A17" s="3">
        <v>46169</v>
      </c>
      <c r="B17" s="2" t="s">
        <v>27</v>
      </c>
      <c r="C17" s="2" t="s">
        <v>23</v>
      </c>
      <c r="D17" s="2" t="s">
        <v>45</v>
      </c>
      <c r="E17" s="2">
        <v>0.57999999999999996</v>
      </c>
      <c r="F17" s="2">
        <v>1</v>
      </c>
      <c r="G17" s="2">
        <v>1.59</v>
      </c>
      <c r="H17" s="2">
        <f t="shared" si="0"/>
        <v>0.59000000000000008</v>
      </c>
      <c r="I17">
        <f t="shared" si="1"/>
        <v>0.59000000000000008</v>
      </c>
    </row>
    <row r="18" spans="1:9" s="2" customFormat="1">
      <c r="A18" s="3">
        <v>46171</v>
      </c>
      <c r="B18" s="2" t="s">
        <v>18</v>
      </c>
      <c r="C18" s="2" t="s">
        <v>19</v>
      </c>
      <c r="D18" s="2" t="s">
        <v>46</v>
      </c>
      <c r="E18" s="2">
        <v>0.61</v>
      </c>
      <c r="F18" s="2">
        <v>1</v>
      </c>
      <c r="G18" s="2">
        <v>1.59</v>
      </c>
      <c r="H18" s="2">
        <f t="shared" si="0"/>
        <v>0.59000000000000008</v>
      </c>
      <c r="I18">
        <f t="shared" si="1"/>
        <v>0.59000000000000008</v>
      </c>
    </row>
    <row r="19" spans="1:9">
      <c r="A19" s="1">
        <v>46171</v>
      </c>
      <c r="B19" t="s">
        <v>8</v>
      </c>
      <c r="C19" t="s">
        <v>9</v>
      </c>
      <c r="D19" t="s">
        <v>46</v>
      </c>
      <c r="E19">
        <v>0.73</v>
      </c>
      <c r="F19">
        <v>1</v>
      </c>
      <c r="G19">
        <v>1.61</v>
      </c>
      <c r="H19">
        <f t="shared" si="0"/>
        <v>0.6100000000000001</v>
      </c>
      <c r="I19">
        <f t="shared" si="1"/>
        <v>0.6100000000000001</v>
      </c>
    </row>
    <row r="20" spans="1:9" s="2" customFormat="1">
      <c r="A20" s="3">
        <v>46175</v>
      </c>
      <c r="B20" s="2" t="s">
        <v>16</v>
      </c>
      <c r="C20" s="2" t="s">
        <v>33</v>
      </c>
      <c r="D20" s="2" t="s">
        <v>11</v>
      </c>
      <c r="E20" s="2">
        <v>0.64</v>
      </c>
      <c r="F20" s="2">
        <v>0</v>
      </c>
      <c r="G20" s="2">
        <v>1.62</v>
      </c>
      <c r="H20" s="2">
        <f t="shared" si="0"/>
        <v>-1</v>
      </c>
      <c r="I20">
        <f t="shared" si="1"/>
        <v>-1</v>
      </c>
    </row>
    <row r="21" spans="1:9">
      <c r="A21" s="1">
        <v>46168</v>
      </c>
      <c r="B21" t="s">
        <v>16</v>
      </c>
      <c r="C21" t="s">
        <v>25</v>
      </c>
      <c r="D21" t="s">
        <v>44</v>
      </c>
      <c r="E21">
        <v>0.72</v>
      </c>
      <c r="F21">
        <v>1</v>
      </c>
      <c r="G21">
        <v>1.64</v>
      </c>
      <c r="H21">
        <f t="shared" si="0"/>
        <v>0.6399999999999999</v>
      </c>
      <c r="I21">
        <f t="shared" si="1"/>
        <v>0.6399999999999999</v>
      </c>
    </row>
    <row r="22" spans="1:9">
      <c r="A22" s="1">
        <v>46168</v>
      </c>
      <c r="B22" t="s">
        <v>28</v>
      </c>
      <c r="C22" t="s">
        <v>32</v>
      </c>
      <c r="D22" t="s">
        <v>44</v>
      </c>
      <c r="E22">
        <v>0.37</v>
      </c>
      <c r="F22">
        <v>1</v>
      </c>
      <c r="G22">
        <v>1.64</v>
      </c>
      <c r="H22">
        <f t="shared" si="0"/>
        <v>0.6399999999999999</v>
      </c>
      <c r="I22">
        <f t="shared" si="1"/>
        <v>0.6399999999999999</v>
      </c>
    </row>
    <row r="23" spans="1:9">
      <c r="A23" s="1">
        <v>46171</v>
      </c>
      <c r="B23" t="s">
        <v>8</v>
      </c>
      <c r="C23" t="s">
        <v>9</v>
      </c>
      <c r="D23" t="s">
        <v>44</v>
      </c>
      <c r="E23">
        <v>0.68</v>
      </c>
      <c r="F23">
        <v>1</v>
      </c>
      <c r="G23">
        <v>1.64</v>
      </c>
      <c r="H23">
        <f t="shared" si="0"/>
        <v>0.6399999999999999</v>
      </c>
      <c r="I23">
        <f t="shared" si="1"/>
        <v>0.6399999999999999</v>
      </c>
    </row>
    <row r="24" spans="1:9">
      <c r="A24" s="1">
        <v>46171</v>
      </c>
      <c r="B24" t="s">
        <v>33</v>
      </c>
      <c r="C24" t="s">
        <v>40</v>
      </c>
      <c r="D24" t="s">
        <v>45</v>
      </c>
      <c r="E24">
        <v>0.71</v>
      </c>
      <c r="F24">
        <v>1</v>
      </c>
      <c r="G24">
        <v>1.64</v>
      </c>
      <c r="H24">
        <f t="shared" si="0"/>
        <v>0.6399999999999999</v>
      </c>
      <c r="I24">
        <f t="shared" si="1"/>
        <v>0.6399999999999999</v>
      </c>
    </row>
    <row r="25" spans="1:9">
      <c r="A25" s="1">
        <v>46173</v>
      </c>
      <c r="B25" t="s">
        <v>28</v>
      </c>
      <c r="C25" t="s">
        <v>29</v>
      </c>
      <c r="D25" t="s">
        <v>45</v>
      </c>
      <c r="E25">
        <v>0.57999999999999996</v>
      </c>
      <c r="F25">
        <v>1</v>
      </c>
      <c r="G25">
        <v>1.6659999999999999</v>
      </c>
      <c r="H25">
        <f t="shared" si="0"/>
        <v>0.66599999999999993</v>
      </c>
      <c r="I25">
        <f t="shared" si="1"/>
        <v>0.66599999999999993</v>
      </c>
    </row>
    <row r="26" spans="1:9">
      <c r="A26" s="1">
        <v>46171</v>
      </c>
      <c r="B26" t="s">
        <v>15</v>
      </c>
      <c r="C26" t="s">
        <v>16</v>
      </c>
      <c r="D26" t="s">
        <v>45</v>
      </c>
      <c r="E26">
        <v>0.22</v>
      </c>
      <c r="F26">
        <v>0</v>
      </c>
      <c r="G26">
        <v>1.67</v>
      </c>
      <c r="H26">
        <f t="shared" si="0"/>
        <v>-1</v>
      </c>
      <c r="I26">
        <f t="shared" si="1"/>
        <v>-1</v>
      </c>
    </row>
    <row r="27" spans="1:9">
      <c r="A27" s="1">
        <v>46169</v>
      </c>
      <c r="B27" t="s">
        <v>42</v>
      </c>
      <c r="C27" t="s">
        <v>39</v>
      </c>
      <c r="D27" t="s">
        <v>45</v>
      </c>
      <c r="E27">
        <v>0.59</v>
      </c>
      <c r="F27">
        <v>1</v>
      </c>
      <c r="G27">
        <v>1.67</v>
      </c>
      <c r="H27">
        <f t="shared" si="0"/>
        <v>0.66999999999999993</v>
      </c>
      <c r="I27">
        <f t="shared" si="1"/>
        <v>0.66999999999999993</v>
      </c>
    </row>
    <row r="28" spans="1:9">
      <c r="A28" s="1">
        <v>46173</v>
      </c>
      <c r="B28" t="s">
        <v>28</v>
      </c>
      <c r="C28" t="s">
        <v>29</v>
      </c>
      <c r="D28" t="s">
        <v>44</v>
      </c>
      <c r="E28">
        <v>0.27</v>
      </c>
      <c r="F28">
        <v>0</v>
      </c>
      <c r="G28">
        <v>1.69</v>
      </c>
      <c r="H28">
        <f t="shared" si="0"/>
        <v>-1</v>
      </c>
      <c r="I28">
        <f t="shared" si="1"/>
        <v>-1</v>
      </c>
    </row>
    <row r="29" spans="1:9" s="2" customFormat="1">
      <c r="A29" s="1">
        <v>46168</v>
      </c>
      <c r="B29" t="s">
        <v>16</v>
      </c>
      <c r="C29" t="s">
        <v>25</v>
      </c>
      <c r="D29" t="s">
        <v>46</v>
      </c>
      <c r="E29">
        <v>0.77</v>
      </c>
      <c r="F29">
        <v>1</v>
      </c>
      <c r="G29">
        <v>1.72</v>
      </c>
      <c r="H29">
        <f t="shared" si="0"/>
        <v>0.72</v>
      </c>
      <c r="I29">
        <f t="shared" si="1"/>
        <v>0.72</v>
      </c>
    </row>
    <row r="30" spans="1:9">
      <c r="A30" s="1">
        <v>46168</v>
      </c>
      <c r="B30" t="s">
        <v>16</v>
      </c>
      <c r="C30" t="s">
        <v>25</v>
      </c>
      <c r="D30" t="s">
        <v>47</v>
      </c>
      <c r="E30">
        <v>0.63</v>
      </c>
      <c r="F30">
        <v>1</v>
      </c>
      <c r="G30">
        <v>1.72</v>
      </c>
      <c r="H30">
        <f t="shared" si="0"/>
        <v>0.72</v>
      </c>
      <c r="I30">
        <f t="shared" si="1"/>
        <v>0.72</v>
      </c>
    </row>
    <row r="31" spans="1:9">
      <c r="A31" s="1">
        <v>46172</v>
      </c>
      <c r="B31" t="s">
        <v>28</v>
      </c>
      <c r="C31" t="s">
        <v>29</v>
      </c>
      <c r="D31" t="s">
        <v>45</v>
      </c>
      <c r="E31">
        <v>0.59</v>
      </c>
      <c r="F31">
        <v>1</v>
      </c>
      <c r="G31">
        <v>1.72</v>
      </c>
      <c r="H31">
        <f t="shared" si="0"/>
        <v>0.72</v>
      </c>
      <c r="I31">
        <f t="shared" si="1"/>
        <v>0.72</v>
      </c>
    </row>
    <row r="32" spans="1:9">
      <c r="A32" s="1">
        <v>46172</v>
      </c>
      <c r="B32" t="s">
        <v>18</v>
      </c>
      <c r="C32" t="s">
        <v>19</v>
      </c>
      <c r="D32" t="s">
        <v>47</v>
      </c>
      <c r="E32">
        <v>0.6</v>
      </c>
      <c r="F32">
        <v>1</v>
      </c>
      <c r="G32">
        <v>1.72</v>
      </c>
      <c r="H32">
        <f t="shared" si="0"/>
        <v>0.72</v>
      </c>
      <c r="I32">
        <f t="shared" si="1"/>
        <v>0.72</v>
      </c>
    </row>
    <row r="33" spans="1:9">
      <c r="A33" s="1">
        <v>46174</v>
      </c>
      <c r="B33" t="s">
        <v>32</v>
      </c>
      <c r="C33" t="s">
        <v>28</v>
      </c>
      <c r="D33" t="s">
        <v>45</v>
      </c>
      <c r="E33">
        <v>0.71</v>
      </c>
      <c r="F33">
        <v>1</v>
      </c>
      <c r="G33">
        <v>1.72</v>
      </c>
      <c r="H33">
        <f t="shared" si="0"/>
        <v>0.72</v>
      </c>
      <c r="I33">
        <f t="shared" si="1"/>
        <v>0.72</v>
      </c>
    </row>
    <row r="34" spans="1:9">
      <c r="A34" s="1">
        <v>46175</v>
      </c>
      <c r="B34" t="s">
        <v>29</v>
      </c>
      <c r="C34" t="s">
        <v>13</v>
      </c>
      <c r="D34" t="s">
        <v>10</v>
      </c>
      <c r="E34">
        <v>0.62</v>
      </c>
      <c r="F34">
        <v>1</v>
      </c>
      <c r="G34">
        <v>1.73</v>
      </c>
      <c r="H34">
        <f t="shared" ref="H34:H54" si="2">IF(F34=0,-1,G34-1)</f>
        <v>0.73</v>
      </c>
      <c r="I34">
        <f t="shared" ref="I34:I54" si="3">IF(G34&gt;1.5,H34,0)</f>
        <v>0.73</v>
      </c>
    </row>
    <row r="35" spans="1:9">
      <c r="A35" s="1">
        <v>46171</v>
      </c>
      <c r="B35" t="s">
        <v>39</v>
      </c>
      <c r="C35" t="s">
        <v>38</v>
      </c>
      <c r="D35" t="s">
        <v>45</v>
      </c>
      <c r="E35">
        <v>0.6</v>
      </c>
      <c r="F35">
        <v>0</v>
      </c>
      <c r="G35">
        <v>1.75</v>
      </c>
      <c r="H35">
        <f t="shared" si="2"/>
        <v>-1</v>
      </c>
      <c r="I35">
        <f t="shared" si="3"/>
        <v>-1</v>
      </c>
    </row>
    <row r="36" spans="1:9">
      <c r="A36" s="1">
        <v>46168</v>
      </c>
      <c r="B36" t="s">
        <v>8</v>
      </c>
      <c r="C36" t="s">
        <v>22</v>
      </c>
      <c r="D36" t="s">
        <v>44</v>
      </c>
      <c r="E36">
        <v>0.35</v>
      </c>
      <c r="F36">
        <v>1</v>
      </c>
      <c r="G36">
        <v>1.75</v>
      </c>
      <c r="H36">
        <f t="shared" si="2"/>
        <v>0.75</v>
      </c>
      <c r="I36">
        <f t="shared" si="3"/>
        <v>0.75</v>
      </c>
    </row>
    <row r="37" spans="1:9" s="2" customFormat="1">
      <c r="A37" s="1">
        <v>46169</v>
      </c>
      <c r="B37" t="s">
        <v>24</v>
      </c>
      <c r="C37" t="s">
        <v>26</v>
      </c>
      <c r="D37" t="s">
        <v>45</v>
      </c>
      <c r="E37">
        <v>0.34</v>
      </c>
      <c r="F37">
        <v>1</v>
      </c>
      <c r="G37">
        <v>1.75</v>
      </c>
      <c r="H37">
        <f t="shared" si="2"/>
        <v>0.75</v>
      </c>
      <c r="I37">
        <f t="shared" si="3"/>
        <v>0.75</v>
      </c>
    </row>
    <row r="38" spans="1:9">
      <c r="A38" s="1">
        <v>46171</v>
      </c>
      <c r="B38" t="s">
        <v>8</v>
      </c>
      <c r="C38" t="s">
        <v>9</v>
      </c>
      <c r="D38" t="s">
        <v>45</v>
      </c>
      <c r="E38">
        <v>0.33</v>
      </c>
      <c r="F38">
        <v>1</v>
      </c>
      <c r="G38">
        <v>1.75</v>
      </c>
      <c r="H38">
        <f t="shared" si="2"/>
        <v>0.75</v>
      </c>
      <c r="I38">
        <f t="shared" si="3"/>
        <v>0.75</v>
      </c>
    </row>
    <row r="39" spans="1:9">
      <c r="A39" s="1">
        <v>46172</v>
      </c>
      <c r="B39" t="s">
        <v>36</v>
      </c>
      <c r="C39" t="s">
        <v>31</v>
      </c>
      <c r="D39" t="s">
        <v>45</v>
      </c>
      <c r="E39">
        <v>0.3</v>
      </c>
      <c r="F39">
        <v>1</v>
      </c>
      <c r="G39">
        <v>1.78</v>
      </c>
      <c r="H39">
        <f t="shared" si="2"/>
        <v>0.78</v>
      </c>
      <c r="I39">
        <f t="shared" si="3"/>
        <v>0.78</v>
      </c>
    </row>
    <row r="40" spans="1:9">
      <c r="A40" s="1">
        <v>46169</v>
      </c>
      <c r="B40" t="s">
        <v>36</v>
      </c>
      <c r="C40" t="s">
        <v>29</v>
      </c>
      <c r="D40" t="s">
        <v>46</v>
      </c>
      <c r="E40">
        <v>0.6</v>
      </c>
      <c r="F40">
        <v>1</v>
      </c>
      <c r="G40">
        <v>1.82</v>
      </c>
      <c r="H40">
        <f t="shared" si="2"/>
        <v>0.82000000000000006</v>
      </c>
      <c r="I40">
        <f t="shared" si="3"/>
        <v>0.82000000000000006</v>
      </c>
    </row>
    <row r="41" spans="1:9">
      <c r="A41" s="1">
        <v>46168</v>
      </c>
      <c r="B41" t="s">
        <v>40</v>
      </c>
      <c r="C41" t="s">
        <v>38</v>
      </c>
      <c r="D41" t="s">
        <v>45</v>
      </c>
      <c r="E41">
        <v>0.37</v>
      </c>
      <c r="F41">
        <v>0</v>
      </c>
      <c r="G41">
        <v>1.85</v>
      </c>
      <c r="H41">
        <f t="shared" si="2"/>
        <v>-1</v>
      </c>
      <c r="I41">
        <f t="shared" si="3"/>
        <v>-1</v>
      </c>
    </row>
    <row r="42" spans="1:9">
      <c r="A42" s="1">
        <v>46172</v>
      </c>
      <c r="B42" t="s">
        <v>24</v>
      </c>
      <c r="C42" t="s">
        <v>25</v>
      </c>
      <c r="D42" t="s">
        <v>47</v>
      </c>
      <c r="E42">
        <v>0.6</v>
      </c>
      <c r="F42">
        <v>0</v>
      </c>
      <c r="G42">
        <v>1.85</v>
      </c>
      <c r="H42">
        <f t="shared" si="2"/>
        <v>-1</v>
      </c>
      <c r="I42">
        <f t="shared" si="3"/>
        <v>-1</v>
      </c>
    </row>
    <row r="43" spans="1:9">
      <c r="A43" s="3">
        <v>46170</v>
      </c>
      <c r="B43" s="2" t="s">
        <v>39</v>
      </c>
      <c r="C43" s="2" t="s">
        <v>38</v>
      </c>
      <c r="D43" s="2" t="s">
        <v>46</v>
      </c>
      <c r="E43" s="2">
        <v>0.6</v>
      </c>
      <c r="F43" s="2">
        <v>0</v>
      </c>
      <c r="G43" s="2">
        <v>1.92</v>
      </c>
      <c r="H43" s="2">
        <f t="shared" si="2"/>
        <v>-1</v>
      </c>
      <c r="I43">
        <f t="shared" si="3"/>
        <v>-1</v>
      </c>
    </row>
    <row r="44" spans="1:9">
      <c r="A44" s="1">
        <v>46172</v>
      </c>
      <c r="B44" t="s">
        <v>24</v>
      </c>
      <c r="C44" t="s">
        <v>25</v>
      </c>
      <c r="D44" t="s">
        <v>44</v>
      </c>
      <c r="E44">
        <v>0.63</v>
      </c>
      <c r="F44">
        <v>0</v>
      </c>
      <c r="G44">
        <v>1.92</v>
      </c>
      <c r="H44">
        <f t="shared" si="2"/>
        <v>-1</v>
      </c>
      <c r="I44">
        <f t="shared" si="3"/>
        <v>-1</v>
      </c>
    </row>
    <row r="45" spans="1:9" s="2" customFormat="1">
      <c r="A45" s="1">
        <v>46168</v>
      </c>
      <c r="B45" t="s">
        <v>28</v>
      </c>
      <c r="C45" t="s">
        <v>32</v>
      </c>
      <c r="D45" t="s">
        <v>45</v>
      </c>
      <c r="E45">
        <v>0.36</v>
      </c>
      <c r="F45">
        <v>1</v>
      </c>
      <c r="G45">
        <v>1.92</v>
      </c>
      <c r="H45">
        <f t="shared" si="2"/>
        <v>0.91999999999999993</v>
      </c>
      <c r="I45">
        <f t="shared" si="3"/>
        <v>0.91999999999999993</v>
      </c>
    </row>
    <row r="46" spans="1:9">
      <c r="A46" s="1">
        <v>46171</v>
      </c>
      <c r="B46" t="s">
        <v>42</v>
      </c>
      <c r="C46" t="s">
        <v>43</v>
      </c>
      <c r="D46" t="s">
        <v>45</v>
      </c>
      <c r="E46">
        <v>0.59</v>
      </c>
      <c r="F46">
        <v>1</v>
      </c>
      <c r="G46">
        <v>1.92</v>
      </c>
      <c r="H46">
        <f t="shared" si="2"/>
        <v>0.91999999999999993</v>
      </c>
      <c r="I46">
        <f t="shared" si="3"/>
        <v>0.91999999999999993</v>
      </c>
    </row>
    <row r="47" spans="1:9">
      <c r="A47" s="3">
        <v>46173</v>
      </c>
      <c r="B47" s="2" t="s">
        <v>15</v>
      </c>
      <c r="C47" s="2" t="s">
        <v>16</v>
      </c>
      <c r="D47" s="2" t="s">
        <v>45</v>
      </c>
      <c r="E47" s="2">
        <v>0.33</v>
      </c>
      <c r="F47" s="2">
        <v>1</v>
      </c>
      <c r="G47" s="2">
        <v>1.92</v>
      </c>
      <c r="H47" s="2">
        <f t="shared" si="2"/>
        <v>0.91999999999999993</v>
      </c>
      <c r="I47">
        <f t="shared" si="3"/>
        <v>0.91999999999999993</v>
      </c>
    </row>
    <row r="48" spans="1:9">
      <c r="A48" s="1">
        <v>46175</v>
      </c>
      <c r="B48" t="s">
        <v>25</v>
      </c>
      <c r="C48" t="s">
        <v>20</v>
      </c>
      <c r="D48" t="s">
        <v>11</v>
      </c>
      <c r="E48">
        <v>0.6</v>
      </c>
      <c r="F48">
        <v>0</v>
      </c>
      <c r="G48">
        <v>1.97</v>
      </c>
      <c r="H48">
        <f t="shared" si="2"/>
        <v>-1</v>
      </c>
      <c r="I48">
        <f t="shared" si="3"/>
        <v>-1</v>
      </c>
    </row>
    <row r="49" spans="1:9">
      <c r="A49" s="1">
        <v>46175</v>
      </c>
      <c r="B49" t="s">
        <v>19</v>
      </c>
      <c r="C49" t="s">
        <v>36</v>
      </c>
      <c r="D49" t="s">
        <v>17</v>
      </c>
      <c r="E49">
        <v>0.37</v>
      </c>
      <c r="F49">
        <v>1</v>
      </c>
      <c r="G49">
        <v>2.04</v>
      </c>
      <c r="H49">
        <f t="shared" si="2"/>
        <v>1.04</v>
      </c>
      <c r="I49">
        <f t="shared" si="3"/>
        <v>1.04</v>
      </c>
    </row>
    <row r="50" spans="1:9">
      <c r="A50" s="1">
        <v>46175</v>
      </c>
      <c r="B50" t="s">
        <v>19</v>
      </c>
      <c r="C50" t="s">
        <v>36</v>
      </c>
      <c r="D50" t="s">
        <v>14</v>
      </c>
      <c r="E50">
        <v>0.66</v>
      </c>
      <c r="F50">
        <v>0</v>
      </c>
      <c r="G50">
        <v>2.08</v>
      </c>
      <c r="H50">
        <f t="shared" si="2"/>
        <v>-1</v>
      </c>
      <c r="I50">
        <f t="shared" si="3"/>
        <v>-1</v>
      </c>
    </row>
    <row r="51" spans="1:9">
      <c r="A51" s="1">
        <v>46171</v>
      </c>
      <c r="B51" t="s">
        <v>24</v>
      </c>
      <c r="C51" t="s">
        <v>25</v>
      </c>
      <c r="D51" t="s">
        <v>46</v>
      </c>
      <c r="E51">
        <v>0.6</v>
      </c>
      <c r="F51">
        <v>0</v>
      </c>
      <c r="G51">
        <v>2.13</v>
      </c>
      <c r="H51">
        <f t="shared" si="2"/>
        <v>-1</v>
      </c>
      <c r="I51">
        <f t="shared" si="3"/>
        <v>-1</v>
      </c>
    </row>
    <row r="52" spans="1:9">
      <c r="A52" s="1">
        <v>46173</v>
      </c>
      <c r="B52" t="s">
        <v>15</v>
      </c>
      <c r="C52" t="s">
        <v>16</v>
      </c>
      <c r="D52" t="s">
        <v>47</v>
      </c>
      <c r="E52">
        <v>0.39</v>
      </c>
      <c r="F52">
        <v>0</v>
      </c>
      <c r="G52">
        <v>2.13</v>
      </c>
      <c r="H52">
        <f t="shared" si="2"/>
        <v>-1</v>
      </c>
      <c r="I52">
        <f t="shared" si="3"/>
        <v>-1</v>
      </c>
    </row>
    <row r="53" spans="1:9">
      <c r="A53" s="3">
        <v>46173</v>
      </c>
      <c r="B53" s="2" t="s">
        <v>34</v>
      </c>
      <c r="C53" s="2" t="s">
        <v>32</v>
      </c>
      <c r="D53" s="2" t="s">
        <v>46</v>
      </c>
      <c r="E53" s="2">
        <v>0.6</v>
      </c>
      <c r="F53" s="2">
        <v>0</v>
      </c>
      <c r="G53" s="2">
        <v>2.17</v>
      </c>
      <c r="H53" s="2">
        <f t="shared" si="2"/>
        <v>-1</v>
      </c>
      <c r="I53">
        <f t="shared" si="3"/>
        <v>-1</v>
      </c>
    </row>
    <row r="54" spans="1:9">
      <c r="A54" s="1">
        <v>46168</v>
      </c>
      <c r="B54" t="s">
        <v>24</v>
      </c>
      <c r="C54" t="s">
        <v>26</v>
      </c>
      <c r="D54" t="s">
        <v>46</v>
      </c>
      <c r="E54">
        <v>0.63</v>
      </c>
      <c r="F54">
        <v>0</v>
      </c>
      <c r="G54">
        <v>2.38</v>
      </c>
      <c r="H54">
        <f t="shared" si="2"/>
        <v>-1</v>
      </c>
      <c r="I54">
        <f t="shared" si="3"/>
        <v>-1</v>
      </c>
    </row>
    <row r="55" spans="1:9">
      <c r="A55" t="s">
        <v>35</v>
      </c>
      <c r="H55">
        <f>SUBTOTAL(109,Table134[Earnings])</f>
        <v>1.985999999999998</v>
      </c>
      <c r="I55">
        <f>SUBTOTAL(109,Table134[Earnings_Adjusted])</f>
        <v>0.89599999999999902</v>
      </c>
    </row>
    <row r="56" spans="1:9">
      <c r="A56" s="1"/>
      <c r="B56" s="1"/>
    </row>
    <row r="57" spans="1:9">
      <c r="A57" s="1"/>
      <c r="B57" s="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5E7D-2B6F-9A4F-BB4C-BAB8B06A5CB9}">
  <dimension ref="A1:I47"/>
  <sheetViews>
    <sheetView workbookViewId="0">
      <selection activeCell="N8" sqref="N8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41</v>
      </c>
    </row>
    <row r="2" spans="1:9">
      <c r="A2" s="1">
        <v>46169</v>
      </c>
      <c r="B2" t="s">
        <v>16</v>
      </c>
      <c r="C2" t="s">
        <v>25</v>
      </c>
      <c r="D2" t="s">
        <v>45</v>
      </c>
      <c r="E2">
        <v>0.84</v>
      </c>
      <c r="F2">
        <v>1</v>
      </c>
      <c r="G2">
        <v>1.23</v>
      </c>
      <c r="H2">
        <f t="shared" ref="H2:H46" si="0">IF(F2=0,-1,G2-1)</f>
        <v>0.22999999999999998</v>
      </c>
      <c r="I2">
        <f t="shared" ref="I2:I46" si="1">IF(G2&gt;1.59,H2,0)</f>
        <v>0</v>
      </c>
    </row>
    <row r="3" spans="1:9">
      <c r="A3" s="1">
        <v>46168</v>
      </c>
      <c r="B3" t="s">
        <v>16</v>
      </c>
      <c r="C3" t="s">
        <v>25</v>
      </c>
      <c r="D3" t="s">
        <v>45</v>
      </c>
      <c r="E3">
        <v>0.72</v>
      </c>
      <c r="F3">
        <v>1</v>
      </c>
      <c r="G3">
        <v>1.43</v>
      </c>
      <c r="H3">
        <f t="shared" si="0"/>
        <v>0.42999999999999994</v>
      </c>
      <c r="I3">
        <f t="shared" si="1"/>
        <v>0</v>
      </c>
    </row>
    <row r="4" spans="1:9">
      <c r="A4" s="1">
        <v>46173</v>
      </c>
      <c r="B4" t="s">
        <v>24</v>
      </c>
      <c r="C4" t="s">
        <v>25</v>
      </c>
      <c r="D4" t="s">
        <v>45</v>
      </c>
      <c r="E4">
        <v>0.7</v>
      </c>
      <c r="F4">
        <v>1</v>
      </c>
      <c r="G4">
        <v>1.43</v>
      </c>
      <c r="H4">
        <f t="shared" si="0"/>
        <v>0.42999999999999994</v>
      </c>
      <c r="I4">
        <f t="shared" si="1"/>
        <v>0</v>
      </c>
    </row>
    <row r="5" spans="1:9">
      <c r="A5" s="3">
        <v>46170</v>
      </c>
      <c r="B5" s="2" t="s">
        <v>8</v>
      </c>
      <c r="C5" s="2" t="s">
        <v>22</v>
      </c>
      <c r="D5" s="2" t="s">
        <v>44</v>
      </c>
      <c r="E5" s="2">
        <v>0.33</v>
      </c>
      <c r="F5" s="2">
        <v>1</v>
      </c>
      <c r="G5">
        <v>1.45</v>
      </c>
      <c r="H5">
        <f t="shared" si="0"/>
        <v>0.44999999999999996</v>
      </c>
      <c r="I5">
        <f t="shared" si="1"/>
        <v>0</v>
      </c>
    </row>
    <row r="6" spans="1:9">
      <c r="A6" s="1">
        <v>46168</v>
      </c>
      <c r="B6" t="s">
        <v>31</v>
      </c>
      <c r="C6" t="s">
        <v>12</v>
      </c>
      <c r="D6" t="s">
        <v>45</v>
      </c>
      <c r="E6">
        <v>0.57999999999999996</v>
      </c>
      <c r="F6">
        <v>1</v>
      </c>
      <c r="G6">
        <v>1.49</v>
      </c>
      <c r="H6">
        <f t="shared" si="0"/>
        <v>0.49</v>
      </c>
      <c r="I6">
        <f t="shared" si="1"/>
        <v>0</v>
      </c>
    </row>
    <row r="7" spans="1:9">
      <c r="A7" s="1">
        <v>46173</v>
      </c>
      <c r="B7" t="s">
        <v>33</v>
      </c>
      <c r="C7" t="s">
        <v>40</v>
      </c>
      <c r="D7" t="s">
        <v>45</v>
      </c>
      <c r="E7">
        <v>0.76</v>
      </c>
      <c r="F7">
        <v>1</v>
      </c>
      <c r="G7">
        <v>1.49</v>
      </c>
      <c r="H7">
        <f t="shared" si="0"/>
        <v>0.49</v>
      </c>
      <c r="I7">
        <f t="shared" si="1"/>
        <v>0</v>
      </c>
    </row>
    <row r="8" spans="1:9">
      <c r="A8" s="1">
        <v>46168</v>
      </c>
      <c r="B8" t="s">
        <v>18</v>
      </c>
      <c r="C8" t="s">
        <v>37</v>
      </c>
      <c r="D8" t="s">
        <v>45</v>
      </c>
      <c r="E8">
        <v>0.24</v>
      </c>
      <c r="F8">
        <v>1</v>
      </c>
      <c r="G8">
        <v>1.51</v>
      </c>
      <c r="H8">
        <f t="shared" si="0"/>
        <v>0.51</v>
      </c>
      <c r="I8">
        <f t="shared" si="1"/>
        <v>0</v>
      </c>
    </row>
    <row r="9" spans="1:9">
      <c r="A9" s="1">
        <v>46174</v>
      </c>
      <c r="B9" t="s">
        <v>16</v>
      </c>
      <c r="C9" t="s">
        <v>33</v>
      </c>
      <c r="D9" t="s">
        <v>11</v>
      </c>
      <c r="E9">
        <v>0.68</v>
      </c>
      <c r="F9">
        <v>0</v>
      </c>
      <c r="G9">
        <v>1.51</v>
      </c>
      <c r="H9">
        <f t="shared" si="0"/>
        <v>-1</v>
      </c>
      <c r="I9">
        <f t="shared" si="1"/>
        <v>0</v>
      </c>
    </row>
    <row r="10" spans="1:9">
      <c r="A10" s="1">
        <v>46169</v>
      </c>
      <c r="B10" t="s">
        <v>31</v>
      </c>
      <c r="C10" t="s">
        <v>12</v>
      </c>
      <c r="D10" t="s">
        <v>45</v>
      </c>
      <c r="E10">
        <v>0.6</v>
      </c>
      <c r="F10">
        <v>1</v>
      </c>
      <c r="G10">
        <v>1.59</v>
      </c>
      <c r="H10">
        <f t="shared" si="0"/>
        <v>0.59000000000000008</v>
      </c>
      <c r="I10">
        <f t="shared" si="1"/>
        <v>0</v>
      </c>
    </row>
    <row r="11" spans="1:9">
      <c r="A11" s="1">
        <v>46169</v>
      </c>
      <c r="B11" t="s">
        <v>27</v>
      </c>
      <c r="C11" t="s">
        <v>23</v>
      </c>
      <c r="D11" t="s">
        <v>45</v>
      </c>
      <c r="E11">
        <v>0.57999999999999996</v>
      </c>
      <c r="F11">
        <v>1</v>
      </c>
      <c r="G11">
        <v>1.59</v>
      </c>
      <c r="H11">
        <f t="shared" si="0"/>
        <v>0.59000000000000008</v>
      </c>
      <c r="I11">
        <f t="shared" si="1"/>
        <v>0</v>
      </c>
    </row>
    <row r="12" spans="1:9">
      <c r="A12" s="3">
        <v>46171</v>
      </c>
      <c r="B12" s="2" t="s">
        <v>8</v>
      </c>
      <c r="C12" s="2" t="s">
        <v>9</v>
      </c>
      <c r="D12" s="2" t="s">
        <v>45</v>
      </c>
      <c r="E12" s="2">
        <v>0.33</v>
      </c>
      <c r="F12" s="2">
        <v>1</v>
      </c>
      <c r="G12" s="2">
        <v>1.61</v>
      </c>
      <c r="H12" s="2">
        <f t="shared" si="0"/>
        <v>0.6100000000000001</v>
      </c>
      <c r="I12" s="2">
        <f t="shared" si="1"/>
        <v>0.6100000000000001</v>
      </c>
    </row>
    <row r="13" spans="1:9">
      <c r="A13" s="1">
        <v>46171</v>
      </c>
      <c r="B13" t="s">
        <v>33</v>
      </c>
      <c r="C13" t="s">
        <v>40</v>
      </c>
      <c r="D13" t="s">
        <v>45</v>
      </c>
      <c r="E13">
        <v>0.71</v>
      </c>
      <c r="F13">
        <v>1</v>
      </c>
      <c r="G13">
        <v>1.61</v>
      </c>
      <c r="H13">
        <f t="shared" si="0"/>
        <v>0.6100000000000001</v>
      </c>
      <c r="I13">
        <f t="shared" si="1"/>
        <v>0.6100000000000001</v>
      </c>
    </row>
    <row r="14" spans="1:9">
      <c r="A14" s="1">
        <v>46171</v>
      </c>
      <c r="B14" t="s">
        <v>18</v>
      </c>
      <c r="C14" t="s">
        <v>19</v>
      </c>
      <c r="D14" t="s">
        <v>44</v>
      </c>
      <c r="E14">
        <v>0.65</v>
      </c>
      <c r="F14">
        <v>0</v>
      </c>
      <c r="G14">
        <v>1.61</v>
      </c>
      <c r="H14">
        <f t="shared" si="0"/>
        <v>-1</v>
      </c>
      <c r="I14">
        <f t="shared" si="1"/>
        <v>-1</v>
      </c>
    </row>
    <row r="15" spans="1:9">
      <c r="A15" s="1">
        <v>46174</v>
      </c>
      <c r="B15" t="s">
        <v>25</v>
      </c>
      <c r="C15" t="s">
        <v>20</v>
      </c>
      <c r="D15" t="s">
        <v>17</v>
      </c>
      <c r="E15">
        <v>0.35</v>
      </c>
      <c r="F15">
        <v>0</v>
      </c>
      <c r="G15">
        <v>1.61</v>
      </c>
      <c r="H15">
        <f t="shared" si="0"/>
        <v>-1</v>
      </c>
      <c r="I15">
        <f t="shared" si="1"/>
        <v>-1</v>
      </c>
    </row>
    <row r="16" spans="1:9">
      <c r="A16" s="1">
        <v>46168</v>
      </c>
      <c r="B16" t="s">
        <v>16</v>
      </c>
      <c r="C16" t="s">
        <v>25</v>
      </c>
      <c r="D16" t="s">
        <v>44</v>
      </c>
      <c r="E16">
        <v>0.69</v>
      </c>
      <c r="F16">
        <v>1</v>
      </c>
      <c r="G16">
        <v>1.64</v>
      </c>
      <c r="H16">
        <f t="shared" si="0"/>
        <v>0.6399999999999999</v>
      </c>
      <c r="I16">
        <f t="shared" si="1"/>
        <v>0.6399999999999999</v>
      </c>
    </row>
    <row r="17" spans="1:9">
      <c r="A17" s="1">
        <v>46171</v>
      </c>
      <c r="B17" t="s">
        <v>8</v>
      </c>
      <c r="C17" t="s">
        <v>9</v>
      </c>
      <c r="D17" t="s">
        <v>46</v>
      </c>
      <c r="E17">
        <v>0.73</v>
      </c>
      <c r="F17">
        <v>1</v>
      </c>
      <c r="G17">
        <v>1.64</v>
      </c>
      <c r="H17">
        <f t="shared" si="0"/>
        <v>0.6399999999999999</v>
      </c>
      <c r="I17">
        <f t="shared" si="1"/>
        <v>0.6399999999999999</v>
      </c>
    </row>
    <row r="18" spans="1:9">
      <c r="A18" s="1">
        <v>46172</v>
      </c>
      <c r="B18" t="s">
        <v>8</v>
      </c>
      <c r="C18" t="s">
        <v>9</v>
      </c>
      <c r="D18" t="s">
        <v>44</v>
      </c>
      <c r="E18">
        <v>0.64</v>
      </c>
      <c r="F18">
        <v>1</v>
      </c>
      <c r="G18">
        <v>1.64</v>
      </c>
      <c r="H18">
        <f t="shared" si="0"/>
        <v>0.6399999999999999</v>
      </c>
      <c r="I18">
        <f t="shared" si="1"/>
        <v>0.6399999999999999</v>
      </c>
    </row>
    <row r="19" spans="1:9" s="2" customFormat="1">
      <c r="A19" s="1">
        <v>46173</v>
      </c>
      <c r="B19" t="s">
        <v>28</v>
      </c>
      <c r="C19" t="s">
        <v>29</v>
      </c>
      <c r="D19" t="s">
        <v>45</v>
      </c>
      <c r="E19">
        <v>0.57999999999999996</v>
      </c>
      <c r="F19">
        <v>1</v>
      </c>
      <c r="G19">
        <v>1.64</v>
      </c>
      <c r="H19">
        <f t="shared" si="0"/>
        <v>0.6399999999999999</v>
      </c>
      <c r="I19">
        <f t="shared" si="1"/>
        <v>0.6399999999999999</v>
      </c>
    </row>
    <row r="20" spans="1:9">
      <c r="A20" s="1">
        <v>46169</v>
      </c>
      <c r="B20" t="s">
        <v>13</v>
      </c>
      <c r="C20" t="s">
        <v>30</v>
      </c>
      <c r="D20" t="s">
        <v>45</v>
      </c>
      <c r="E20">
        <v>0.7</v>
      </c>
      <c r="F20">
        <v>0</v>
      </c>
      <c r="G20">
        <v>1.67</v>
      </c>
      <c r="H20">
        <f t="shared" si="0"/>
        <v>-1</v>
      </c>
      <c r="I20">
        <f t="shared" si="1"/>
        <v>-1</v>
      </c>
    </row>
    <row r="21" spans="1:9">
      <c r="A21" s="1">
        <v>46171</v>
      </c>
      <c r="B21" t="s">
        <v>15</v>
      </c>
      <c r="C21" t="s">
        <v>16</v>
      </c>
      <c r="D21" t="s">
        <v>45</v>
      </c>
      <c r="E21">
        <v>0.22</v>
      </c>
      <c r="F21">
        <v>0</v>
      </c>
      <c r="G21">
        <v>1.67</v>
      </c>
      <c r="H21">
        <f t="shared" si="0"/>
        <v>-1</v>
      </c>
      <c r="I21">
        <f t="shared" si="1"/>
        <v>-1</v>
      </c>
    </row>
    <row r="22" spans="1:9">
      <c r="A22" s="1">
        <v>46173</v>
      </c>
      <c r="B22" t="s">
        <v>28</v>
      </c>
      <c r="C22" t="s">
        <v>29</v>
      </c>
      <c r="D22" t="s">
        <v>44</v>
      </c>
      <c r="E22">
        <v>0.27</v>
      </c>
      <c r="F22">
        <v>0</v>
      </c>
      <c r="G22">
        <v>1.69</v>
      </c>
      <c r="H22">
        <f t="shared" si="0"/>
        <v>-1</v>
      </c>
      <c r="I22">
        <f t="shared" si="1"/>
        <v>-1</v>
      </c>
    </row>
    <row r="23" spans="1:9">
      <c r="A23" s="1">
        <v>46169</v>
      </c>
      <c r="B23" t="s">
        <v>24</v>
      </c>
      <c r="C23" t="s">
        <v>26</v>
      </c>
      <c r="D23" t="s">
        <v>45</v>
      </c>
      <c r="E23">
        <v>0.34</v>
      </c>
      <c r="F23">
        <v>1</v>
      </c>
      <c r="G23">
        <v>1.72</v>
      </c>
      <c r="H23">
        <f t="shared" si="0"/>
        <v>0.72</v>
      </c>
      <c r="I23">
        <f t="shared" si="1"/>
        <v>0.72</v>
      </c>
    </row>
    <row r="24" spans="1:9">
      <c r="A24" s="1">
        <v>46171</v>
      </c>
      <c r="B24" t="s">
        <v>20</v>
      </c>
      <c r="C24" t="s">
        <v>21</v>
      </c>
      <c r="D24" t="s">
        <v>45</v>
      </c>
      <c r="E24">
        <v>0.57999999999999996</v>
      </c>
      <c r="F24">
        <v>1</v>
      </c>
      <c r="G24">
        <v>1.72</v>
      </c>
      <c r="H24">
        <f t="shared" si="0"/>
        <v>0.72</v>
      </c>
      <c r="I24">
        <f t="shared" si="1"/>
        <v>0.72</v>
      </c>
    </row>
    <row r="25" spans="1:9">
      <c r="A25" s="1">
        <v>46171</v>
      </c>
      <c r="B25" t="s">
        <v>18</v>
      </c>
      <c r="C25" t="s">
        <v>19</v>
      </c>
      <c r="D25" t="s">
        <v>47</v>
      </c>
      <c r="E25">
        <v>0.61</v>
      </c>
      <c r="F25">
        <v>1</v>
      </c>
      <c r="G25">
        <v>1.72</v>
      </c>
      <c r="H25">
        <f t="shared" si="0"/>
        <v>0.72</v>
      </c>
      <c r="I25">
        <f t="shared" si="1"/>
        <v>0.72</v>
      </c>
    </row>
    <row r="26" spans="1:9">
      <c r="A26" s="1">
        <v>46172</v>
      </c>
      <c r="B26" t="s">
        <v>28</v>
      </c>
      <c r="C26" t="s">
        <v>29</v>
      </c>
      <c r="D26" t="s">
        <v>45</v>
      </c>
      <c r="E26">
        <v>0.59</v>
      </c>
      <c r="F26">
        <v>1</v>
      </c>
      <c r="G26">
        <v>1.72</v>
      </c>
      <c r="H26">
        <f t="shared" si="0"/>
        <v>0.72</v>
      </c>
      <c r="I26">
        <f t="shared" si="1"/>
        <v>0.72</v>
      </c>
    </row>
    <row r="27" spans="1:9">
      <c r="A27" s="3">
        <v>46169</v>
      </c>
      <c r="B27" s="2" t="s">
        <v>36</v>
      </c>
      <c r="C27" s="2" t="s">
        <v>29</v>
      </c>
      <c r="D27" s="2" t="s">
        <v>46</v>
      </c>
      <c r="E27" s="2">
        <v>0.6</v>
      </c>
      <c r="F27" s="2">
        <v>1</v>
      </c>
      <c r="G27">
        <v>1.74</v>
      </c>
      <c r="H27">
        <f t="shared" si="0"/>
        <v>0.74</v>
      </c>
      <c r="I27">
        <f t="shared" si="1"/>
        <v>0.74</v>
      </c>
    </row>
    <row r="28" spans="1:9">
      <c r="A28" s="1">
        <v>46168</v>
      </c>
      <c r="B28" t="s">
        <v>8</v>
      </c>
      <c r="C28" t="s">
        <v>22</v>
      </c>
      <c r="D28" t="s">
        <v>44</v>
      </c>
      <c r="E28">
        <v>0.37</v>
      </c>
      <c r="F28">
        <v>1</v>
      </c>
      <c r="G28">
        <v>1.75</v>
      </c>
      <c r="H28">
        <f t="shared" si="0"/>
        <v>0.75</v>
      </c>
      <c r="I28">
        <f t="shared" si="1"/>
        <v>0.75</v>
      </c>
    </row>
    <row r="29" spans="1:9">
      <c r="A29" s="1">
        <v>46171</v>
      </c>
      <c r="B29" t="s">
        <v>8</v>
      </c>
      <c r="C29" t="s">
        <v>9</v>
      </c>
      <c r="D29" t="s">
        <v>44</v>
      </c>
      <c r="E29">
        <v>0.68</v>
      </c>
      <c r="F29">
        <v>0</v>
      </c>
      <c r="G29">
        <v>1.75</v>
      </c>
      <c r="H29">
        <f t="shared" si="0"/>
        <v>-1</v>
      </c>
      <c r="I29">
        <f t="shared" si="1"/>
        <v>-1</v>
      </c>
    </row>
    <row r="30" spans="1:9">
      <c r="A30" s="1">
        <v>46173</v>
      </c>
      <c r="B30" t="s">
        <v>28</v>
      </c>
      <c r="C30" t="s">
        <v>29</v>
      </c>
      <c r="D30" t="s">
        <v>47</v>
      </c>
      <c r="E30">
        <v>0.4</v>
      </c>
      <c r="F30">
        <v>1</v>
      </c>
      <c r="G30">
        <v>1.75</v>
      </c>
      <c r="H30">
        <f t="shared" si="0"/>
        <v>0.75</v>
      </c>
      <c r="I30">
        <f t="shared" si="1"/>
        <v>0.75</v>
      </c>
    </row>
    <row r="31" spans="1:9">
      <c r="A31" s="1">
        <v>46171</v>
      </c>
      <c r="B31" t="s">
        <v>24</v>
      </c>
      <c r="C31" t="s">
        <v>25</v>
      </c>
      <c r="D31" t="s">
        <v>46</v>
      </c>
      <c r="E31">
        <v>0.62</v>
      </c>
      <c r="F31">
        <v>0</v>
      </c>
      <c r="G31">
        <v>1.78</v>
      </c>
      <c r="H31">
        <f t="shared" si="0"/>
        <v>-1</v>
      </c>
      <c r="I31">
        <f t="shared" si="1"/>
        <v>-1</v>
      </c>
    </row>
    <row r="32" spans="1:9">
      <c r="A32" s="1">
        <v>46172</v>
      </c>
      <c r="B32" t="s">
        <v>36</v>
      </c>
      <c r="C32" t="s">
        <v>31</v>
      </c>
      <c r="D32" t="s">
        <v>45</v>
      </c>
      <c r="E32">
        <v>0.3</v>
      </c>
      <c r="F32">
        <v>1</v>
      </c>
      <c r="G32">
        <v>1.78</v>
      </c>
      <c r="H32">
        <f t="shared" si="0"/>
        <v>0.78</v>
      </c>
      <c r="I32">
        <f t="shared" si="1"/>
        <v>0.78</v>
      </c>
    </row>
    <row r="33" spans="1:9">
      <c r="A33" s="1">
        <v>46172</v>
      </c>
      <c r="B33" t="s">
        <v>12</v>
      </c>
      <c r="C33" t="s">
        <v>13</v>
      </c>
      <c r="D33" t="s">
        <v>46</v>
      </c>
      <c r="E33">
        <v>0.65</v>
      </c>
      <c r="F33">
        <v>1</v>
      </c>
      <c r="G33">
        <v>1.78</v>
      </c>
      <c r="H33">
        <f t="shared" si="0"/>
        <v>0.78</v>
      </c>
      <c r="I33">
        <f t="shared" si="1"/>
        <v>0.78</v>
      </c>
    </row>
    <row r="34" spans="1:9">
      <c r="A34" s="3">
        <v>46172</v>
      </c>
      <c r="B34" s="2" t="s">
        <v>8</v>
      </c>
      <c r="C34" s="2" t="s">
        <v>9</v>
      </c>
      <c r="D34" s="2" t="s">
        <v>47</v>
      </c>
      <c r="E34" s="2">
        <v>0.6</v>
      </c>
      <c r="F34" s="2">
        <v>0</v>
      </c>
      <c r="G34" s="2">
        <v>1.79</v>
      </c>
      <c r="H34">
        <f t="shared" si="0"/>
        <v>-1</v>
      </c>
      <c r="I34">
        <f t="shared" si="1"/>
        <v>-1</v>
      </c>
    </row>
    <row r="35" spans="1:9">
      <c r="A35" s="1">
        <v>46174</v>
      </c>
      <c r="B35" t="s">
        <v>30</v>
      </c>
      <c r="C35" t="s">
        <v>31</v>
      </c>
      <c r="D35" t="s">
        <v>17</v>
      </c>
      <c r="E35">
        <v>0.37</v>
      </c>
      <c r="F35">
        <v>1</v>
      </c>
      <c r="G35">
        <v>1.81</v>
      </c>
      <c r="H35">
        <f t="shared" si="0"/>
        <v>0.81</v>
      </c>
      <c r="I35">
        <f t="shared" si="1"/>
        <v>0.81</v>
      </c>
    </row>
    <row r="36" spans="1:9">
      <c r="A36" s="1">
        <v>46168</v>
      </c>
      <c r="B36" t="s">
        <v>33</v>
      </c>
      <c r="C36" t="s">
        <v>34</v>
      </c>
      <c r="D36" t="s">
        <v>46</v>
      </c>
      <c r="E36">
        <v>0.61</v>
      </c>
      <c r="F36">
        <v>1</v>
      </c>
      <c r="G36">
        <v>1.82</v>
      </c>
      <c r="H36">
        <f t="shared" si="0"/>
        <v>0.82000000000000006</v>
      </c>
      <c r="I36">
        <f t="shared" si="1"/>
        <v>0.82000000000000006</v>
      </c>
    </row>
    <row r="37" spans="1:9">
      <c r="A37" s="1">
        <v>46169</v>
      </c>
      <c r="B37" t="s">
        <v>21</v>
      </c>
      <c r="C37" t="s">
        <v>19</v>
      </c>
      <c r="D37" t="s">
        <v>45</v>
      </c>
      <c r="E37">
        <v>0.36</v>
      </c>
      <c r="F37">
        <v>1</v>
      </c>
      <c r="G37">
        <v>1.85</v>
      </c>
      <c r="H37">
        <f t="shared" si="0"/>
        <v>0.85000000000000009</v>
      </c>
      <c r="I37">
        <f t="shared" si="1"/>
        <v>0.85000000000000009</v>
      </c>
    </row>
    <row r="38" spans="1:9">
      <c r="A38" s="1">
        <v>46172</v>
      </c>
      <c r="B38" t="s">
        <v>24</v>
      </c>
      <c r="C38" t="s">
        <v>25</v>
      </c>
      <c r="D38" t="s">
        <v>47</v>
      </c>
      <c r="E38">
        <v>0.6</v>
      </c>
      <c r="F38">
        <v>0</v>
      </c>
      <c r="G38">
        <v>1.89</v>
      </c>
      <c r="H38">
        <f t="shared" si="0"/>
        <v>-1</v>
      </c>
      <c r="I38">
        <f t="shared" si="1"/>
        <v>-1</v>
      </c>
    </row>
    <row r="39" spans="1:9">
      <c r="A39" s="1">
        <v>46170</v>
      </c>
      <c r="B39" t="s">
        <v>39</v>
      </c>
      <c r="C39" t="s">
        <v>38</v>
      </c>
      <c r="D39" t="s">
        <v>46</v>
      </c>
      <c r="E39">
        <v>0.6</v>
      </c>
      <c r="F39">
        <v>0</v>
      </c>
      <c r="G39">
        <v>1.92</v>
      </c>
      <c r="H39">
        <f t="shared" si="0"/>
        <v>-1</v>
      </c>
      <c r="I39">
        <f t="shared" si="1"/>
        <v>-1</v>
      </c>
    </row>
    <row r="40" spans="1:9">
      <c r="A40" s="1">
        <v>46171</v>
      </c>
      <c r="B40" t="s">
        <v>42</v>
      </c>
      <c r="C40" t="s">
        <v>43</v>
      </c>
      <c r="D40" t="s">
        <v>45</v>
      </c>
      <c r="E40">
        <v>0.57999999999999996</v>
      </c>
      <c r="F40">
        <v>1</v>
      </c>
      <c r="G40">
        <v>1.92</v>
      </c>
      <c r="H40">
        <f t="shared" si="0"/>
        <v>0.91999999999999993</v>
      </c>
      <c r="I40">
        <f t="shared" si="1"/>
        <v>0.91999999999999993</v>
      </c>
    </row>
    <row r="41" spans="1:9">
      <c r="A41" s="1">
        <v>46172</v>
      </c>
      <c r="B41" t="s">
        <v>24</v>
      </c>
      <c r="C41" t="s">
        <v>25</v>
      </c>
      <c r="D41" t="s">
        <v>44</v>
      </c>
      <c r="E41">
        <v>0.63</v>
      </c>
      <c r="F41">
        <v>0</v>
      </c>
      <c r="G41">
        <v>1.92</v>
      </c>
      <c r="H41">
        <f t="shared" si="0"/>
        <v>-1</v>
      </c>
      <c r="I41">
        <f t="shared" si="1"/>
        <v>-1</v>
      </c>
    </row>
    <row r="42" spans="1:9">
      <c r="A42" s="1">
        <v>46173</v>
      </c>
      <c r="B42" t="s">
        <v>15</v>
      </c>
      <c r="C42" t="s">
        <v>16</v>
      </c>
      <c r="D42" t="s">
        <v>45</v>
      </c>
      <c r="E42">
        <v>0.33</v>
      </c>
      <c r="F42">
        <v>1</v>
      </c>
      <c r="G42">
        <v>1.92</v>
      </c>
      <c r="H42">
        <f t="shared" si="0"/>
        <v>0.91999999999999993</v>
      </c>
      <c r="I42">
        <f t="shared" si="1"/>
        <v>0.91999999999999993</v>
      </c>
    </row>
    <row r="43" spans="1:9">
      <c r="A43" s="3">
        <v>46173</v>
      </c>
      <c r="B43" s="2" t="s">
        <v>34</v>
      </c>
      <c r="C43" s="2" t="s">
        <v>32</v>
      </c>
      <c r="D43" s="2" t="s">
        <v>46</v>
      </c>
      <c r="E43" s="2">
        <v>0.6</v>
      </c>
      <c r="F43" s="2">
        <v>0</v>
      </c>
      <c r="G43">
        <v>2.12</v>
      </c>
      <c r="H43">
        <f t="shared" si="0"/>
        <v>-1</v>
      </c>
      <c r="I43">
        <f t="shared" si="1"/>
        <v>-1</v>
      </c>
    </row>
    <row r="44" spans="1:9">
      <c r="A44" s="1">
        <v>46173</v>
      </c>
      <c r="B44" t="s">
        <v>15</v>
      </c>
      <c r="C44" t="s">
        <v>16</v>
      </c>
      <c r="D44" t="s">
        <v>47</v>
      </c>
      <c r="E44">
        <v>0.39</v>
      </c>
      <c r="F44">
        <v>0</v>
      </c>
      <c r="G44">
        <v>2.17</v>
      </c>
      <c r="H44">
        <f t="shared" si="0"/>
        <v>-1</v>
      </c>
      <c r="I44">
        <f t="shared" si="1"/>
        <v>-1</v>
      </c>
    </row>
    <row r="45" spans="1:9">
      <c r="A45" s="1">
        <v>46168</v>
      </c>
      <c r="B45" t="s">
        <v>24</v>
      </c>
      <c r="C45" t="s">
        <v>26</v>
      </c>
      <c r="D45" t="s">
        <v>46</v>
      </c>
      <c r="E45">
        <v>0.63</v>
      </c>
      <c r="F45">
        <v>0</v>
      </c>
      <c r="G45">
        <v>2.3199999999999998</v>
      </c>
      <c r="H45">
        <f t="shared" si="0"/>
        <v>-1</v>
      </c>
      <c r="I45">
        <f t="shared" si="1"/>
        <v>-1</v>
      </c>
    </row>
    <row r="46" spans="1:9">
      <c r="A46" s="1">
        <v>46170</v>
      </c>
      <c r="B46" t="s">
        <v>28</v>
      </c>
      <c r="C46" t="s">
        <v>32</v>
      </c>
      <c r="D46" t="s">
        <v>46</v>
      </c>
      <c r="E46">
        <v>0.6</v>
      </c>
      <c r="F46">
        <v>0</v>
      </c>
      <c r="G46">
        <v>2.3199999999999998</v>
      </c>
      <c r="H46">
        <f t="shared" si="0"/>
        <v>-1</v>
      </c>
      <c r="I46">
        <f t="shared" si="1"/>
        <v>-1</v>
      </c>
    </row>
    <row r="47" spans="1:9">
      <c r="A47" t="s">
        <v>35</v>
      </c>
      <c r="H47">
        <f>SUBTOTAL(109,Table13[Earnings])</f>
        <v>2.9899999999999984</v>
      </c>
      <c r="I47">
        <f>SUBTOTAL(109,Table13[Earnings_Adjusted])</f>
        <v>-0.22000000000000064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mlb_bet_archive</vt:lpstr>
      <vt:lpstr>mlb_bet_archive_redo</vt:lpstr>
      <vt:lpstr>mlb_bet_archive_old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Enjia</cp:lastModifiedBy>
  <dcterms:created xsi:type="dcterms:W3CDTF">2026-05-31T20:41:26Z</dcterms:created>
  <dcterms:modified xsi:type="dcterms:W3CDTF">2026-06-07T22:40:35Z</dcterms:modified>
</cp:coreProperties>
</file>